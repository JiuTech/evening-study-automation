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52356fdf8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73f42795544483"/>
    <x:sheet xmlns:r="http://schemas.openxmlformats.org/officeDocument/2006/relationships" name="Sheet2" sheetId="2" r:id="R3c86c540a99e4fb8"/>
    <x:sheet xmlns:r="http://schemas.openxmlformats.org/officeDocument/2006/relationships" name="Sheet3" sheetId="3" r:id="R3df92cc177764910"/>
  </x:sheets>
  <x:definedNames>
    <x:definedName name="单博文">Sheet1!$E$192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1">
    <x:font>
      <x:sz val="11"/>
      <x:color theme="1"/>
      <x:name val="宋体"/>
    </x:font>
    <x:font>
      <x:sz val="16"/>
      <x:name val="宋体"/>
    </x:font>
    <x:font>
      <x:sz val="12"/>
      <x:name val="宋体"/>
    </x:font>
    <x:font>
      <x:sz val="10"/>
      <x:color theme="1"/>
      <x:name val="宋体"/>
    </x:font>
    <x:font>
      <x:sz val="12"/>
      <x:name val="宋体"/>
    </x:font>
    <x:font>
      <x:sz val="11"/>
      <x:color theme="1"/>
      <x:name val="宋体"/>
    </x:font>
    <x:font>
      <x:sz val="11"/>
      <x:color rgb="FFFF0201"/>
      <x:name val="宋体"/>
    </x:font>
    <x:font>
      <x:sz val="9"/>
      <x:name val="宋体"/>
    </x:font>
    <x:font>
      <x:sz val="16"/>
      <x:name val="宋体"/>
    </x:font>
    <x:font>
      <x:sz val="11"/>
      <x:color theme="1"/>
      <x:name val="宋体"/>
    </x:font>
    <x:font>
      <x:sz val="12"/>
      <x:name val="宋体"/>
    </x:font>
  </x:fonts>
  <x:fills count="2">
    <x:fill>
      <x:patternFill patternType="none"/>
    </x:fill>
    <x:fill>
      <x:patternFill patternType="gray125"/>
    </x:fill>
  </x:fills>
  <x:borders count="5">
    <x:border/>
    <x:border>
      <x:right style="thin">
        <x:color auto="1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</x:borders>
  <x:cellStyleXfs count="1">
    <x:xf numFmtId="0" fontId="0" fillId="0" borderId="0" applyBorder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10" fontId="3" fillId="0" borderId="2" xfId="0" applyNumberFormat="1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49" fontId="4" fillId="0" borderId="2" xfId="0" applyNumberFormat="1" applyFont="1" applyBorder="1" applyAlignment="1">
      <x:alignment horizontal="center" vertical="center"/>
    </x:xf>
    <x:xf numFmtId="9" fontId="0" fillId="0" borderId="4" xfId="0" applyNumberFormat="1" applyBorder="1" applyAlignment="1">
      <x:alignment horizontal="center" vertical="center"/>
    </x:xf>
    <x:xf numFmtId="9" fontId="0" fillId="0" borderId="2" xfId="0" applyNumberForma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58" fontId="0" fillId="0" borderId="2" xfId="0" applyNumberFormat="1" applyBorder="1" applyAlignment="1">
      <x:alignment horizontal="center" vertical="center" wrapText="1"/>
    </x:xf>
    <x:xf numFmtId="58" fontId="0" fillId="0" borderId="3" xfId="0" applyNumberFormat="1" applyBorder="1" applyAlignment="1">
      <x:alignment horizontal="center" vertical="center"/>
    </x:xf>
    <x:xf numFmtId="49" fontId="2" fillId="0" borderId="2" xfId="0" applyNumberFormat="1" applyFont="1" applyBorder="1" applyAlignment="1">
      <x:alignment horizontal="center" vertical="center"/>
    </x:xf>
    <x:xf numFmtId="58" fontId="5" fillId="0" borderId="2" xfId="0" applyNumberFormat="1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58" fontId="9" fillId="0" borderId="2" xfId="0" applyNumberFormat="1" applyFont="1" applyBorder="1" applyAlignment="1">
      <x:alignment horizontal="center" vertical="center" wrapText="1"/>
    </x:xf>
    <x:xf numFmtId="0" fontId="9" fillId="0" borderId="2" xfId="0" applyFont="1" applyBorder="1" applyAlignment="1">
      <x:alignment horizontal="center" vertical="center" wrapText="1"/>
    </x:xf>
    <x:xf numFmtId="58" fontId="9" fillId="0" borderId="3" xfId="0" applyNumberFormat="1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b65249bdc4fee" /><Relationship Type="http://schemas.openxmlformats.org/officeDocument/2006/relationships/theme" Target="/xl/theme/theme1.xml" Id="Rb0db4d31a9804fb4" /><Relationship Type="http://schemas.openxmlformats.org/officeDocument/2006/relationships/sharedStrings" Target="/xl/sharedStrings.xml" Id="Rddb9fdab93f54aa1" /><Relationship Type="http://schemas.openxmlformats.org/officeDocument/2006/relationships/worksheet" Target="/xl/worksheets/sheet1.xml" Id="Rbf73f42795544483" /><Relationship Type="http://schemas.openxmlformats.org/officeDocument/2006/relationships/worksheet" Target="/xl/worksheets/sheet2.xml" Id="R3c86c540a99e4fb8" /><Relationship Type="http://schemas.openxmlformats.org/officeDocument/2006/relationships/worksheet" Target="/xl/worksheets/sheet3.xml" Id="R3df92cc1777649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t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59765625" defaultRowHeight="13.5"/>
  <x:cols>
    <x:col min="1" max="2" width="9.73046875" style="1" customWidth="1"/>
    <x:col min="3" max="3" width="23.59765625" style="1" customWidth="1"/>
    <x:col min="4" max="4" width="12.9296875" style="1" customWidth="1"/>
    <x:col min="5" max="8" width="9.59765625" style="1" customWidth="0"/>
    <x:col min="9" max="9" width="21.73046875" style="1" customWidth="1"/>
    <x:col min="10" max="10" width="17.46484375" style="2" customWidth="1"/>
    <x:col min="11" max="16384" width="9.59765625" style="1" customWidth="0"/>
  </x:cols>
  <x:sheetData>
    <x:row r="1" ht="35.25" customHeight="1">
      <x:c r="A1" s="21" t="str">
        <x:v>数统26级晚自习x月x半月公示表（本轮晚自习数学类x天 中外x天）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15.75">
      <x:c r="A2" s="3" t="str">
        <x:v>序号</x:v>
      </x:c>
      <x:c r="B2" s="3" t="str">
        <x:v>姓名</x:v>
      </x:c>
      <x:c r="C2" s="3" t="str">
        <x:v>班级</x:v>
      </x:c>
      <x:c r="D2" s="3" t="str">
        <x:v>学号</x:v>
      </x:c>
      <x:c r="E2" s="4" t="str">
        <x:v>出勤率</x:v>
      </x:c>
      <x:c r="F2" s="5" t="str">
        <x:v>缺勤早退率</x:v>
      </x:c>
      <x:c r="G2" s="5" t="str">
        <x:v>缺勤次数</x:v>
      </x:c>
      <x:c r="H2" s="5" t="str">
        <x:v>早退次数</x:v>
      </x:c>
      <x:c r="I2" s="5" t="str">
        <x:v>缺勤日期</x:v>
      </x:c>
      <x:c r="J2" s="6" t="str">
        <x:v>早退日期</x:v>
      </x:c>
    </x:row>
    <x:row r="3" ht="15.75">
      <x:c r="A3" s="7" t="n">
        <x:v>1</x:v>
      </x:c>
      <x:c r="B3" s="23" t="str">
        <x:v>孙煜博</x:v>
      </x:c>
      <x:c r="C3" s="7" t="str">
        <x:v>数学类2601班</x:v>
      </x:c>
      <x:c r="D3" s="8" t="str">
        <x:v>202610189</x:v>
      </x:c>
      <x:c r="E3" s="24" t="n">
        <x:f>MAX(0,1-F3)</x:f>
        <x:v>1</x:v>
      </x:c>
      <x:c r="F3" s="25" t="n">
        <x:f>MIN(1,(G3+H3)/1)</x:f>
        <x:v>0</x:v>
      </x:c>
      <x:c r="G3" s="11" t="n">
        <x:v>0</x:v>
      </x:c>
      <x:c r="H3" s="11" t="n">
        <x:v>0</x:v>
      </x:c>
      <x:c r="I3" s="11" t="str"/>
      <x:c r="J3" s="6" t="str"/>
    </x:row>
    <x:row r="4" ht="15.75">
      <x:c r="A4" s="7" t="n">
        <x:v>2</x:v>
      </x:c>
      <x:c r="B4" s="7" t="str">
        <x:v>赵子墨</x:v>
      </x:c>
      <x:c r="C4" s="7" t="str">
        <x:v>数学类2601班</x:v>
      </x:c>
      <x:c r="D4" s="8" t="str">
        <x:v>202610204</x:v>
      </x:c>
      <x:c r="E4" s="24" t="n">
        <x:f>MAX(0,1-F4)</x:f>
        <x:v>1</x:v>
      </x:c>
      <x:c r="F4" s="25" t="n">
        <x:f>MIN(1,(G4+H4)/1)</x:f>
        <x:v>0</x:v>
      </x:c>
      <x:c r="G4" s="11" t="n">
        <x:v>0</x:v>
      </x:c>
      <x:c r="H4" s="11" t="n">
        <x:v>0</x:v>
      </x:c>
      <x:c r="I4" s="11" t="str"/>
      <x:c r="J4" s="6" t="str"/>
    </x:row>
    <x:row r="5" ht="15.75">
      <x:c r="A5" s="7" t="n">
        <x:v>3</x:v>
      </x:c>
      <x:c r="B5" s="7" t="str">
        <x:v>赵浩宇</x:v>
      </x:c>
      <x:c r="C5" s="7" t="str">
        <x:v>数学类2601班</x:v>
      </x:c>
      <x:c r="D5" s="8" t="str">
        <x:v>202610401</x:v>
      </x:c>
      <x:c r="E5" s="24" t="n">
        <x:f>MAX(0,1-F5)</x:f>
        <x:v>1</x:v>
      </x:c>
      <x:c r="F5" s="25" t="n">
        <x:f>MIN(1,(G5+H5)/1)</x:f>
        <x:v>0</x:v>
      </x:c>
      <x:c r="G5" s="11" t="n">
        <x:v>0</x:v>
      </x:c>
      <x:c r="H5" s="11" t="n">
        <x:v>0</x:v>
      </x:c>
      <x:c r="I5" s="11" t="str"/>
      <x:c r="J5" s="6" t="str"/>
    </x:row>
    <x:row r="6" ht="15.75">
      <x:c r="A6" s="7" t="n">
        <x:v>4</x:v>
      </x:c>
      <x:c r="B6" s="7" t="str">
        <x:v>马宇鹏</x:v>
      </x:c>
      <x:c r="C6" s="7" t="str">
        <x:v>数学类2601班</x:v>
      </x:c>
      <x:c r="D6" s="8" t="str">
        <x:v>202610540</x:v>
      </x:c>
      <x:c r="E6" s="24" t="n">
        <x:f>MAX(0,1-F6)</x:f>
        <x:v>1</x:v>
      </x:c>
      <x:c r="F6" s="25" t="n">
        <x:f>MIN(1,(G6+H6)/1)</x:f>
        <x:v>0</x:v>
      </x:c>
      <x:c r="G6" s="11" t="n">
        <x:v>0</x:v>
      </x:c>
      <x:c r="H6" s="11" t="n">
        <x:v>0</x:v>
      </x:c>
      <x:c r="I6" s="11" t="str"/>
      <x:c r="J6" s="6" t="str"/>
    </x:row>
    <x:row r="7" ht="15.75">
      <x:c r="A7" s="7" t="n">
        <x:v>5</x:v>
      </x:c>
      <x:c r="B7" s="7" t="str">
        <x:v>张铭涵</x:v>
      </x:c>
      <x:c r="C7" s="7" t="str">
        <x:v>数学类2601班</x:v>
      </x:c>
      <x:c r="D7" s="8" t="str">
        <x:v>202610549</x:v>
      </x:c>
      <x:c r="E7" s="24" t="n">
        <x:f>MAX(0,1-F7)</x:f>
        <x:v>1</x:v>
      </x:c>
      <x:c r="F7" s="25" t="n">
        <x:f>MIN(1,(G7+H7)/1)</x:f>
        <x:v>0</x:v>
      </x:c>
      <x:c r="G7" s="11" t="n">
        <x:v>0</x:v>
      </x:c>
      <x:c r="H7" s="11" t="n">
        <x:v>0</x:v>
      </x:c>
      <x:c r="I7" s="11" t="str"/>
      <x:c r="J7" s="6" t="str"/>
    </x:row>
    <x:row r="8" ht="15.75">
      <x:c r="A8" s="7" t="n">
        <x:v>6</x:v>
      </x:c>
      <x:c r="B8" s="7" t="str">
        <x:v>张哲恺</x:v>
      </x:c>
      <x:c r="C8" s="7" t="str">
        <x:v>数学类2601班</x:v>
      </x:c>
      <x:c r="D8" s="7" t="str">
        <x:v>202610573</x:v>
      </x:c>
      <x:c r="E8" s="24" t="n">
        <x:f>MAX(0,1-F8)</x:f>
        <x:v>1</x:v>
      </x:c>
      <x:c r="F8" s="25" t="n">
        <x:f>MIN(1,(G8+H8)/1)</x:f>
        <x:v>0</x:v>
      </x:c>
      <x:c r="G8" s="11" t="n">
        <x:v>0</x:v>
      </x:c>
      <x:c r="H8" s="11" t="n">
        <x:v>0</x:v>
      </x:c>
      <x:c r="I8" s="11" t="str"/>
      <x:c r="J8" s="6" t="str"/>
    </x:row>
    <x:row r="9" ht="15.75">
      <x:c r="A9" s="7" t="n">
        <x:v>7</x:v>
      </x:c>
      <x:c r="B9" s="7" t="str">
        <x:v>许昕泽</x:v>
      </x:c>
      <x:c r="C9" s="7" t="str">
        <x:v>数学类2601班</x:v>
      </x:c>
      <x:c r="D9" s="8" t="str">
        <x:v>202610623</x:v>
      </x:c>
      <x:c r="E9" s="24" t="n">
        <x:f>MAX(0,1-F9)</x:f>
        <x:v>1</x:v>
      </x:c>
      <x:c r="F9" s="25" t="n">
        <x:f>MIN(1,(G9+H9)/1)</x:f>
        <x:v>0</x:v>
      </x:c>
      <x:c r="G9" s="11" t="n">
        <x:v>0</x:v>
      </x:c>
      <x:c r="H9" s="11" t="n">
        <x:v>0</x:v>
      </x:c>
      <x:c r="I9" s="11" t="str"/>
      <x:c r="J9" s="6" t="str"/>
    </x:row>
    <x:row r="10" ht="15.75">
      <x:c r="A10" s="7" t="n">
        <x:v>8</x:v>
      </x:c>
      <x:c r="B10" s="7" t="str">
        <x:v>吴倩莹</x:v>
      </x:c>
      <x:c r="C10" s="7" t="str">
        <x:v>数学类2601班</x:v>
      </x:c>
      <x:c r="D10" s="8" t="str">
        <x:v>202610671</x:v>
      </x:c>
      <x:c r="E10" s="24" t="n">
        <x:f>MAX(0,1-F10)</x:f>
        <x:v>1</x:v>
      </x:c>
      <x:c r="F10" s="25" t="n">
        <x:f>MIN(1,(G10+H10)/1)</x:f>
        <x:v>0</x:v>
      </x:c>
      <x:c r="G10" s="11" t="n">
        <x:v>0</x:v>
      </x:c>
      <x:c r="H10" s="11" t="n">
        <x:v>0</x:v>
      </x:c>
      <x:c r="I10" s="11" t="str"/>
      <x:c r="J10" s="6" t="str"/>
    </x:row>
    <x:row r="11" ht="15.75">
      <x:c r="A11" s="7" t="n">
        <x:v>9</x:v>
      </x:c>
      <x:c r="B11" s="7" t="str">
        <x:v>李政泽</x:v>
      </x:c>
      <x:c r="C11" s="7" t="str">
        <x:v>数学类2601班</x:v>
      </x:c>
      <x:c r="D11" s="7" t="str">
        <x:v>202610857</x:v>
      </x:c>
      <x:c r="E11" s="24" t="n">
        <x:f>MAX(0,1-F11)</x:f>
        <x:v>1</x:v>
      </x:c>
      <x:c r="F11" s="25" t="n">
        <x:f>MIN(1,(G11+H11)/1)</x:f>
        <x:v>0</x:v>
      </x:c>
      <x:c r="G11" s="11" t="n">
        <x:v>0</x:v>
      </x:c>
      <x:c r="H11" s="11" t="n">
        <x:v>0</x:v>
      </x:c>
      <x:c r="I11" s="11" t="str"/>
      <x:c r="J11" s="6" t="str"/>
    </x:row>
    <x:row r="12" ht="15.75">
      <x:c r="A12" s="7" t="n">
        <x:v>10</x:v>
      </x:c>
      <x:c r="B12" s="7" t="str">
        <x:v>皋城都</x:v>
      </x:c>
      <x:c r="C12" s="7" t="str">
        <x:v>数学类2601班</x:v>
      </x:c>
      <x:c r="D12" s="8" t="str">
        <x:v>202611042</x:v>
      </x:c>
      <x:c r="E12" s="24" t="n">
        <x:f>MAX(0,1-F12)</x:f>
        <x:v>1</x:v>
      </x:c>
      <x:c r="F12" s="25" t="n">
        <x:f>MIN(1,(G12+H12)/1)</x:f>
        <x:v>0</x:v>
      </x:c>
      <x:c r="G12" s="11" t="n">
        <x:v>0</x:v>
      </x:c>
      <x:c r="H12" s="11" t="n">
        <x:v>0</x:v>
      </x:c>
      <x:c r="I12" s="11" t="str"/>
      <x:c r="J12" s="6" t="str"/>
    </x:row>
    <x:row r="13" ht="15.75">
      <x:c r="A13" s="7" t="n">
        <x:v>11</x:v>
      </x:c>
      <x:c r="B13" s="7" t="str">
        <x:v>冯炫丁</x:v>
      </x:c>
      <x:c r="C13" s="7" t="str">
        <x:v>数学类2601班</x:v>
      </x:c>
      <x:c r="D13" s="8" t="str">
        <x:v>202611096</x:v>
      </x:c>
      <x:c r="E13" s="24" t="n">
        <x:f>MAX(0,1-F13)</x:f>
        <x:v>1</x:v>
      </x:c>
      <x:c r="F13" s="25" t="n">
        <x:f>MIN(1,(G13+H13)/1)</x:f>
        <x:v>0</x:v>
      </x:c>
      <x:c r="G13" s="11" t="n">
        <x:v>0</x:v>
      </x:c>
      <x:c r="H13" s="11" t="n">
        <x:v>0</x:v>
      </x:c>
      <x:c r="I13" s="11" t="str"/>
      <x:c r="J13" s="6" t="str"/>
    </x:row>
    <x:row r="14" ht="15.75">
      <x:c r="A14" s="7" t="n">
        <x:v>12</x:v>
      </x:c>
      <x:c r="B14" s="7" t="str">
        <x:v>李英东</x:v>
      </x:c>
      <x:c r="C14" s="7" t="str">
        <x:v>数学类2601班</x:v>
      </x:c>
      <x:c r="D14" s="8" t="str">
        <x:v>202611177</x:v>
      </x:c>
      <x:c r="E14" s="24" t="n">
        <x:f>MAX(0,1-F14)</x:f>
        <x:v>1</x:v>
      </x:c>
      <x:c r="F14" s="25" t="n">
        <x:f>MIN(1,(G14+H14)/1)</x:f>
        <x:v>0</x:v>
      </x:c>
      <x:c r="G14" s="11" t="n">
        <x:v>0</x:v>
      </x:c>
      <x:c r="H14" s="11" t="n">
        <x:v>0</x:v>
      </x:c>
      <x:c r="I14" s="11" t="str"/>
      <x:c r="J14" s="6" t="str"/>
    </x:row>
    <x:row r="15" ht="15.75">
      <x:c r="A15" s="7" t="n">
        <x:v>13</x:v>
      </x:c>
      <x:c r="B15" s="7" t="str">
        <x:v>于晓燕</x:v>
      </x:c>
      <x:c r="C15" s="7" t="str">
        <x:v>数学类2601班</x:v>
      </x:c>
      <x:c r="D15" s="8" t="str">
        <x:v>202611305</x:v>
      </x:c>
      <x:c r="E15" s="24" t="n">
        <x:f>MAX(0,1-F15)</x:f>
        <x:v>1</x:v>
      </x:c>
      <x:c r="F15" s="25" t="n">
        <x:f>MIN(1,(G15+H15)/1)</x:f>
        <x:v>0</x:v>
      </x:c>
      <x:c r="G15" s="11" t="n">
        <x:v>0</x:v>
      </x:c>
      <x:c r="H15" s="11" t="n">
        <x:v>0</x:v>
      </x:c>
      <x:c r="I15" s="12" t="str"/>
      <x:c r="J15" s="6" t="str"/>
    </x:row>
    <x:row r="16" ht="15.75">
      <x:c r="A16" s="7" t="n">
        <x:v>14</x:v>
      </x:c>
      <x:c r="B16" s="7" t="str">
        <x:v>冯泽熙</x:v>
      </x:c>
      <x:c r="C16" s="7" t="str">
        <x:v>数学类2601班</x:v>
      </x:c>
      <x:c r="D16" s="7" t="str">
        <x:v>202611456</x:v>
      </x:c>
      <x:c r="E16" s="24" t="n">
        <x:f>MAX(0,1-F16)</x:f>
        <x:v>1</x:v>
      </x:c>
      <x:c r="F16" s="25" t="n">
        <x:f>MIN(1,(G16+H16)/1)</x:f>
        <x:v>0</x:v>
      </x:c>
      <x:c r="G16" s="11" t="n">
        <x:v>0</x:v>
      </x:c>
      <x:c r="H16" s="11" t="n">
        <x:v>0</x:v>
      </x:c>
      <x:c r="I16" s="11" t="str"/>
      <x:c r="J16" s="6" t="str"/>
    </x:row>
    <x:row r="17" ht="15.75">
      <x:c r="A17" s="7" t="n">
        <x:v>15</x:v>
      </x:c>
      <x:c r="B17" s="7" t="str">
        <x:v>王鹏宇</x:v>
      </x:c>
      <x:c r="C17" s="7" t="str">
        <x:v>数学类2601班</x:v>
      </x:c>
      <x:c r="D17" s="8" t="str">
        <x:v>202611641</x:v>
      </x:c>
      <x:c r="E17" s="24" t="n">
        <x:f>MAX(0,1-F17)</x:f>
        <x:v>1</x:v>
      </x:c>
      <x:c r="F17" s="25" t="n">
        <x:f>MIN(1,(G17+H17)/1)</x:f>
        <x:v>0</x:v>
      </x:c>
      <x:c r="G17" s="11" t="n">
        <x:v>0</x:v>
      </x:c>
      <x:c r="H17" s="11" t="n">
        <x:v>0</x:v>
      </x:c>
      <x:c r="I17" s="11" t="str"/>
      <x:c r="J17" s="6" t="str"/>
    </x:row>
    <x:row r="18" ht="15.75">
      <x:c r="A18" s="7" t="n">
        <x:v>16</x:v>
      </x:c>
      <x:c r="B18" s="7" t="str">
        <x:v>金芮</x:v>
      </x:c>
      <x:c r="C18" s="7" t="str">
        <x:v>数学类2601班</x:v>
      </x:c>
      <x:c r="D18" s="7" t="str">
        <x:v>202611816</x:v>
      </x:c>
      <x:c r="E18" s="24" t="n">
        <x:f>MAX(0,1-F18)</x:f>
        <x:v>1</x:v>
      </x:c>
      <x:c r="F18" s="25" t="n">
        <x:f>MIN(1,(G18+H18)/1)</x:f>
        <x:v>0</x:v>
      </x:c>
      <x:c r="G18" s="11" t="n">
        <x:v>0</x:v>
      </x:c>
      <x:c r="H18" s="11" t="n">
        <x:v>0</x:v>
      </x:c>
      <x:c r="I18" s="11" t="str"/>
      <x:c r="J18" s="6" t="str"/>
    </x:row>
    <x:row r="19" ht="15.75">
      <x:c r="A19" s="7" t="n">
        <x:v>17</x:v>
      </x:c>
      <x:c r="B19" s="7" t="str">
        <x:v>李远璟</x:v>
      </x:c>
      <x:c r="C19" s="7" t="str">
        <x:v>数学类2601班</x:v>
      </x:c>
      <x:c r="D19" s="8" t="str">
        <x:v>202611937</x:v>
      </x:c>
      <x:c r="E19" s="24" t="n">
        <x:f>MAX(0,1-F19)</x:f>
        <x:v>1</x:v>
      </x:c>
      <x:c r="F19" s="25" t="n">
        <x:f>MIN(1,(G19+H19)/1)</x:f>
        <x:v>0</x:v>
      </x:c>
      <x:c r="G19" s="11" t="n">
        <x:v>0</x:v>
      </x:c>
      <x:c r="H19" s="11" t="n">
        <x:v>0</x:v>
      </x:c>
      <x:c r="I19" s="11" t="str"/>
      <x:c r="J19" s="6" t="str"/>
    </x:row>
    <x:row r="20" ht="27">
      <x:c r="A20" s="7" t="n">
        <x:v>18</x:v>
      </x:c>
      <x:c r="B20" s="7" t="str">
        <x:v>蒋卓志</x:v>
      </x:c>
      <x:c r="C20" s="7" t="str">
        <x:v>数学类2601班</x:v>
      </x:c>
      <x:c r="D20" s="8" t="str">
        <x:v>202611998</x:v>
      </x:c>
      <x:c r="E20" s="24" t="n">
        <x:f>MAX(0,1-F20)</x:f>
        <x:v>1</x:v>
      </x:c>
      <x:c r="F20" s="25" t="n">
        <x:f>MIN(1,(G20+H20)/1)</x:f>
        <x:v>0</x:v>
      </x:c>
      <x:c r="G20" s="11" t="n">
        <x:v>0</x:v>
      </x:c>
      <x:c r="H20" s="11" t="n">
        <x:v>0</x:v>
      </x:c>
      <x:c r="I20" s="18" t="str"/>
      <x:c r="J20" s="6" t="str"/>
    </x:row>
    <x:row r="21" ht="15.75">
      <x:c r="A21" s="7" t="n">
        <x:v>19</x:v>
      </x:c>
      <x:c r="B21" s="7" t="str">
        <x:v>曾臣雅茹</x:v>
      </x:c>
      <x:c r="C21" s="7" t="str">
        <x:v>数学类2601班</x:v>
      </x:c>
      <x:c r="D21" s="8" t="str">
        <x:v>202612049</x:v>
      </x:c>
      <x:c r="E21" s="24" t="n">
        <x:f>MAX(0,1-F21)</x:f>
        <x:v>1</x:v>
      </x:c>
      <x:c r="F21" s="25" t="n">
        <x:f>MIN(1,(G21+H21)/1)</x:f>
        <x:v>0</x:v>
      </x:c>
      <x:c r="G21" s="11" t="n">
        <x:v>0</x:v>
      </x:c>
      <x:c r="H21" s="11" t="n">
        <x:v>0</x:v>
      </x:c>
      <x:c r="I21" s="11" t="str"/>
      <x:c r="J21" s="6" t="str"/>
    </x:row>
    <x:row r="22" ht="15.75">
      <x:c r="A22" s="7" t="n">
        <x:v>20</x:v>
      </x:c>
      <x:c r="B22" s="7" t="str">
        <x:v>胡嘉辉</x:v>
      </x:c>
      <x:c r="C22" s="7" t="str">
        <x:v>数学类2601班</x:v>
      </x:c>
      <x:c r="D22" s="7" t="str">
        <x:v>202612163</x:v>
      </x:c>
      <x:c r="E22" s="24" t="n">
        <x:f>MAX(0,1-F22)</x:f>
        <x:v>1</x:v>
      </x:c>
      <x:c r="F22" s="25" t="n">
        <x:f>MIN(1,(G22+H22)/1)</x:f>
        <x:v>0</x:v>
      </x:c>
      <x:c r="G22" s="11" t="n">
        <x:v>0</x:v>
      </x:c>
      <x:c r="H22" s="11" t="n">
        <x:v>0</x:v>
      </x:c>
      <x:c r="I22" s="11" t="str"/>
      <x:c r="J22" s="6" t="str"/>
    </x:row>
    <x:row r="23" ht="15.75">
      <x:c r="A23" s="7" t="n">
        <x:v>21</x:v>
      </x:c>
      <x:c r="B23" s="7" t="str">
        <x:v>李柃萱</x:v>
      </x:c>
      <x:c r="C23" s="7" t="str">
        <x:v>数学类2601班</x:v>
      </x:c>
      <x:c r="D23" s="8" t="str">
        <x:v>202612302</x:v>
      </x:c>
      <x:c r="E23" s="24" t="n">
        <x:f>MAX(0,1-F23)</x:f>
        <x:v>1</x:v>
      </x:c>
      <x:c r="F23" s="25" t="n">
        <x:f>MIN(1,(G23+H23)/1)</x:f>
        <x:v>0</x:v>
      </x:c>
      <x:c r="G23" s="11" t="n">
        <x:v>0</x:v>
      </x:c>
      <x:c r="H23" s="11" t="n">
        <x:v>0</x:v>
      </x:c>
      <x:c r="I23" s="12" t="str"/>
      <x:c r="J23" s="6" t="str"/>
    </x:row>
    <x:row r="24" ht="15.75">
      <x:c r="A24" s="7" t="n">
        <x:v>22</x:v>
      </x:c>
      <x:c r="B24" s="7" t="str">
        <x:v>柳博</x:v>
      </x:c>
      <x:c r="C24" s="7" t="str">
        <x:v>数学类2601班</x:v>
      </x:c>
      <x:c r="D24" s="7" t="str">
        <x:v>202612333</x:v>
      </x:c>
      <x:c r="E24" s="24" t="n">
        <x:f>MAX(0,1-F24)</x:f>
        <x:v>1</x:v>
      </x:c>
      <x:c r="F24" s="25" t="n">
        <x:f>MIN(1,(G24+H24)/1)</x:f>
        <x:v>0</x:v>
      </x:c>
      <x:c r="G24" s="11" t="n">
        <x:v>0</x:v>
      </x:c>
      <x:c r="H24" s="11" t="n">
        <x:v>0</x:v>
      </x:c>
      <x:c r="I24" s="11" t="str"/>
      <x:c r="J24" s="6" t="str"/>
    </x:row>
    <x:row r="25" ht="15.75">
      <x:c r="A25" s="7" t="n">
        <x:v>23</x:v>
      </x:c>
      <x:c r="B25" s="7" t="str">
        <x:v>马楚畅</x:v>
      </x:c>
      <x:c r="C25" s="7" t="str">
        <x:v>数学类2601班</x:v>
      </x:c>
      <x:c r="D25" s="8" t="str">
        <x:v>202612447</x:v>
      </x:c>
      <x:c r="E25" s="24" t="n">
        <x:f>MAX(0,1-F25)</x:f>
        <x:v>1</x:v>
      </x:c>
      <x:c r="F25" s="25" t="n">
        <x:f>MIN(1,(G25+H25)/1)</x:f>
        <x:v>0</x:v>
      </x:c>
      <x:c r="G25" s="11" t="n">
        <x:v>0</x:v>
      </x:c>
      <x:c r="H25" s="11" t="n">
        <x:v>0</x:v>
      </x:c>
      <x:c r="I25" s="11" t="str"/>
      <x:c r="J25" s="6" t="str"/>
    </x:row>
    <x:row r="26" ht="15.75">
      <x:c r="A26" s="7" t="n">
        <x:v>24</x:v>
      </x:c>
      <x:c r="B26" s="7" t="str">
        <x:v>王铭轩</x:v>
      </x:c>
      <x:c r="C26" s="7" t="str">
        <x:v>数学类2601班</x:v>
      </x:c>
      <x:c r="D26" s="7" t="str">
        <x:v>202612687</x:v>
      </x:c>
      <x:c r="E26" s="24" t="n">
        <x:f>MAX(0,1-F26)</x:f>
        <x:v>1</x:v>
      </x:c>
      <x:c r="F26" s="25" t="n">
        <x:f>MIN(1,(G26+H26)/1)</x:f>
        <x:v>0</x:v>
      </x:c>
      <x:c r="G26" s="11" t="n">
        <x:v>0</x:v>
      </x:c>
      <x:c r="H26" s="11" t="n">
        <x:v>0</x:v>
      </x:c>
      <x:c r="I26" s="11" t="str"/>
      <x:c r="J26" s="6" t="str"/>
    </x:row>
    <x:row r="27" ht="15.75">
      <x:c r="A27" s="7" t="n">
        <x:v>25</x:v>
      </x:c>
      <x:c r="B27" s="7" t="str">
        <x:v>阮钰霏</x:v>
      </x:c>
      <x:c r="C27" s="7" t="str">
        <x:v>数学类2601班</x:v>
      </x:c>
      <x:c r="D27" s="8" t="str">
        <x:v>202612905</x:v>
      </x:c>
      <x:c r="E27" s="24" t="n">
        <x:f>MAX(0,1-F27)</x:f>
        <x:v>1</x:v>
      </x:c>
      <x:c r="F27" s="25" t="n">
        <x:f>MIN(1,(G27+H27)/1)</x:f>
        <x:v>0</x:v>
      </x:c>
      <x:c r="G27" s="11" t="n">
        <x:v>0</x:v>
      </x:c>
      <x:c r="H27" s="11" t="n">
        <x:v>0</x:v>
      </x:c>
      <x:c r="I27" s="11" t="str"/>
      <x:c r="J27" s="6" t="str"/>
    </x:row>
    <x:row r="28" ht="15.75">
      <x:c r="A28" s="7" t="n">
        <x:v>26</x:v>
      </x:c>
      <x:c r="B28" s="7" t="str">
        <x:v>杨学涵</x:v>
      </x:c>
      <x:c r="C28" s="7" t="str">
        <x:v>数学类2601班</x:v>
      </x:c>
      <x:c r="D28" s="8" t="str">
        <x:v>202613055</x:v>
      </x:c>
      <x:c r="E28" s="24" t="n">
        <x:f>MAX(0,1-F28)</x:f>
        <x:v>1</x:v>
      </x:c>
      <x:c r="F28" s="25" t="n">
        <x:f>MIN(1,(G28+H28)/1)</x:f>
        <x:v>0</x:v>
      </x:c>
      <x:c r="G28" s="11" t="n">
        <x:v>0</x:v>
      </x:c>
      <x:c r="H28" s="11" t="n">
        <x:v>0</x:v>
      </x:c>
      <x:c r="I28" s="11" t="str"/>
      <x:c r="J28" s="6" t="str"/>
    </x:row>
    <x:row r="29" ht="15.75">
      <x:c r="A29" s="7" t="n">
        <x:v>27</x:v>
      </x:c>
      <x:c r="B29" s="7" t="str">
        <x:v>张一铭</x:v>
      </x:c>
      <x:c r="C29" s="7" t="str">
        <x:v>数学类2601班</x:v>
      </x:c>
      <x:c r="D29" s="7" t="str">
        <x:v>202613067</x:v>
      </x:c>
      <x:c r="E29" s="24" t="n">
        <x:f>MAX(0,1-F29)</x:f>
        <x:v>1</x:v>
      </x:c>
      <x:c r="F29" s="25" t="n">
        <x:f>MIN(1,(G29+H29)/1)</x:f>
        <x:v>0</x:v>
      </x:c>
      <x:c r="G29" s="11" t="n">
        <x:v>0</x:v>
      </x:c>
      <x:c r="H29" s="11" t="n">
        <x:v>0</x:v>
      </x:c>
      <x:c r="I29" s="11" t="str"/>
      <x:c r="J29" s="6" t="str"/>
    </x:row>
    <x:row r="30" ht="15.75">
      <x:c r="A30" s="7" t="n">
        <x:v>28</x:v>
      </x:c>
      <x:c r="B30" s="7" t="str">
        <x:v>王茗羽</x:v>
      </x:c>
      <x:c r="C30" s="7" t="str">
        <x:v>数学类2602班</x:v>
      </x:c>
      <x:c r="D30" s="8" t="str">
        <x:v>202610050</x:v>
      </x:c>
      <x:c r="E30" s="24" t="n">
        <x:f>MAX(0,1-F30)</x:f>
        <x:v>1</x:v>
      </x:c>
      <x:c r="F30" s="25" t="n">
        <x:f>MIN(1,(G30+H30)/1)</x:f>
        <x:v>0</x:v>
      </x:c>
      <x:c r="G30" s="11" t="n">
        <x:v>0</x:v>
      </x:c>
      <x:c r="H30" s="11" t="n">
        <x:v>0</x:v>
      </x:c>
      <x:c r="I30" s="11" t="str"/>
      <x:c r="J30" s="6" t="str"/>
    </x:row>
    <x:row r="31" ht="15.75">
      <x:c r="A31" s="7" t="n">
        <x:v>29</x:v>
      </x:c>
      <x:c r="B31" s="7" t="str">
        <x:v>吕尚泽</x:v>
      </x:c>
      <x:c r="C31" s="7" t="str">
        <x:v>数学类2602班</x:v>
      </x:c>
      <x:c r="D31" s="8" t="str">
        <x:v>202610104</x:v>
      </x:c>
      <x:c r="E31" s="24" t="n">
        <x:f>MAX(0,1-F31)</x:f>
        <x:v>1</x:v>
      </x:c>
      <x:c r="F31" s="25" t="n">
        <x:f>MIN(1,(G31+H31)/1)</x:f>
        <x:v>0</x:v>
      </x:c>
      <x:c r="G31" s="11" t="n">
        <x:v>0</x:v>
      </x:c>
      <x:c r="H31" s="11" t="n">
        <x:v>0</x:v>
      </x:c>
      <x:c r="I31" s="11" t="str"/>
      <x:c r="J31" s="6" t="str"/>
    </x:row>
    <x:row r="32" ht="15.75">
      <x:c r="A32" s="7" t="n">
        <x:v>30</x:v>
      </x:c>
      <x:c r="B32" s="7" t="str">
        <x:v>李星哲</x:v>
      </x:c>
      <x:c r="C32" s="7" t="str">
        <x:v>数学类2602班</x:v>
      </x:c>
      <x:c r="D32" s="7" t="str">
        <x:v>202610240</x:v>
      </x:c>
      <x:c r="E32" s="24" t="n">
        <x:f>MAX(0,1-F32)</x:f>
        <x:v>1</x:v>
      </x:c>
      <x:c r="F32" s="25" t="n">
        <x:f>MIN(1,(G32+H32)/1)</x:f>
        <x:v>0</x:v>
      </x:c>
      <x:c r="G32" s="11" t="n">
        <x:v>0</x:v>
      </x:c>
      <x:c r="H32" s="11" t="n">
        <x:v>0</x:v>
      </x:c>
      <x:c r="I32" s="11" t="str"/>
      <x:c r="J32" s="6" t="str"/>
    </x:row>
    <x:row r="33" ht="15.75">
      <x:c r="A33" s="7" t="n">
        <x:v>31</x:v>
      </x:c>
      <x:c r="B33" s="7" t="str">
        <x:v>申艺璇</x:v>
      </x:c>
      <x:c r="C33" s="7" t="str">
        <x:v>数学类2602班</x:v>
      </x:c>
      <x:c r="D33" s="8" t="str">
        <x:v>202610296</x:v>
      </x:c>
      <x:c r="E33" s="24" t="n">
        <x:f>MAX(0,1-F33)</x:f>
        <x:v>1</x:v>
      </x:c>
      <x:c r="F33" s="25" t="n">
        <x:f>MIN(1,(G33+H33)/1)</x:f>
        <x:v>0</x:v>
      </x:c>
      <x:c r="G33" s="11" t="n">
        <x:v>0</x:v>
      </x:c>
      <x:c r="H33" s="11" t="n">
        <x:v>0</x:v>
      </x:c>
      <x:c r="I33" s="11" t="str"/>
      <x:c r="J33" s="6" t="str"/>
    </x:row>
    <x:row r="34" ht="15.75">
      <x:c r="A34" s="7" t="n">
        <x:v>32</x:v>
      </x:c>
      <x:c r="B34" s="7" t="str">
        <x:v>刘慨涵</x:v>
      </x:c>
      <x:c r="C34" s="7" t="str">
        <x:v>数学类2602班</x:v>
      </x:c>
      <x:c r="D34" s="8" t="str">
        <x:v>202610417</x:v>
      </x:c>
      <x:c r="E34" s="24" t="n">
        <x:f>MAX(0,1-F34)</x:f>
        <x:v>1</x:v>
      </x:c>
      <x:c r="F34" s="25" t="n">
        <x:f>MIN(1,(G34+H34)/1)</x:f>
        <x:v>0</x:v>
      </x:c>
      <x:c r="G34" s="11" t="n">
        <x:v>0</x:v>
      </x:c>
      <x:c r="H34" s="11" t="n">
        <x:v>0</x:v>
      </x:c>
      <x:c r="I34" s="12" t="str"/>
      <x:c r="J34" s="13" t="str"/>
    </x:row>
    <x:row r="35" ht="15.75">
      <x:c r="A35" s="7" t="n">
        <x:v>33</x:v>
      </x:c>
      <x:c r="B35" s="7" t="str">
        <x:v>常益庚</x:v>
      </x:c>
      <x:c r="C35" s="7" t="str">
        <x:v>数学类2602班</x:v>
      </x:c>
      <x:c r="D35" s="8" t="str">
        <x:v>202610578</x:v>
      </x:c>
      <x:c r="E35" s="24" t="n">
        <x:f>MAX(0,1-F35)</x:f>
        <x:v>1</x:v>
      </x:c>
      <x:c r="F35" s="25" t="n">
        <x:f>MIN(1,(G35+H35)/1)</x:f>
        <x:v>0</x:v>
      </x:c>
      <x:c r="G35" s="11" t="n">
        <x:v>0</x:v>
      </x:c>
      <x:c r="H35" s="11" t="n">
        <x:v>0</x:v>
      </x:c>
      <x:c r="I35" s="11" t="str"/>
      <x:c r="J35" s="6" t="str"/>
    </x:row>
    <x:row r="36" ht="15.75">
      <x:c r="A36" s="7" t="n">
        <x:v>34</x:v>
      </x:c>
      <x:c r="B36" s="7" t="str">
        <x:v>张淞贺</x:v>
      </x:c>
      <x:c r="C36" s="7" t="str">
        <x:v>数学类2602班</x:v>
      </x:c>
      <x:c r="D36" s="7" t="str">
        <x:v>202610672</x:v>
      </x:c>
      <x:c r="E36" s="24" t="n">
        <x:f>MAX(0,1-F36)</x:f>
        <x:v>1</x:v>
      </x:c>
      <x:c r="F36" s="25" t="n">
        <x:f>MIN(1,(G36+H36)/1)</x:f>
        <x:v>0</x:v>
      </x:c>
      <x:c r="G36" s="11" t="n">
        <x:v>0</x:v>
      </x:c>
      <x:c r="H36" s="11" t="n">
        <x:v>0</x:v>
      </x:c>
      <x:c r="I36" s="11" t="str"/>
      <x:c r="J36" s="6" t="str"/>
    </x:row>
    <x:row r="37" ht="15.75">
      <x:c r="A37" s="7" t="n">
        <x:v>35</x:v>
      </x:c>
      <x:c r="B37" s="7" t="str">
        <x:v>苏琦盛</x:v>
      </x:c>
      <x:c r="C37" s="7" t="str">
        <x:v>数学类2602班</x:v>
      </x:c>
      <x:c r="D37" s="8" t="str">
        <x:v>202610864</x:v>
      </x:c>
      <x:c r="E37" s="24" t="n">
        <x:f>MAX(0,1-F37)</x:f>
        <x:v>1</x:v>
      </x:c>
      <x:c r="F37" s="25" t="n">
        <x:f>MIN(1,(G37+H37)/1)</x:f>
        <x:v>0</x:v>
      </x:c>
      <x:c r="G37" s="11" t="n">
        <x:v>0</x:v>
      </x:c>
      <x:c r="H37" s="11" t="n">
        <x:v>0</x:v>
      </x:c>
      <x:c r="I37" s="11" t="str"/>
      <x:c r="J37" s="6" t="str"/>
    </x:row>
    <x:row r="38" ht="15.75">
      <x:c r="A38" s="7" t="n">
        <x:v>36</x:v>
      </x:c>
      <x:c r="B38" s="7" t="str">
        <x:v>袁睿辰</x:v>
      </x:c>
      <x:c r="C38" s="7" t="str">
        <x:v>数学类2602班</x:v>
      </x:c>
      <x:c r="D38" s="8" t="str">
        <x:v>202610949</x:v>
      </x:c>
      <x:c r="E38" s="24" t="n">
        <x:f>MAX(0,1-F38)</x:f>
        <x:v>1</x:v>
      </x:c>
      <x:c r="F38" s="25" t="n">
        <x:f>MIN(1,(G38+H38)/1)</x:f>
        <x:v>0</x:v>
      </x:c>
      <x:c r="G38" s="11" t="n">
        <x:v>0</x:v>
      </x:c>
      <x:c r="H38" s="11" t="n">
        <x:v>0</x:v>
      </x:c>
      <x:c r="I38" s="11" t="str"/>
      <x:c r="J38" s="6" t="str"/>
    </x:row>
    <x:row r="39" ht="15.75">
      <x:c r="A39" s="7" t="n">
        <x:v>37</x:v>
      </x:c>
      <x:c r="B39" s="7" t="str">
        <x:v>曾禹铭</x:v>
      </x:c>
      <x:c r="C39" s="7" t="str">
        <x:v>数学类2602班</x:v>
      </x:c>
      <x:c r="D39" s="8" t="str">
        <x:v>202611113</x:v>
      </x:c>
      <x:c r="E39" s="24" t="n">
        <x:f>MAX(0,1-F39)</x:f>
        <x:v>1</x:v>
      </x:c>
      <x:c r="F39" s="25" t="n">
        <x:f>MIN(1,(G39+H39)/1)</x:f>
        <x:v>0</x:v>
      </x:c>
      <x:c r="G39" s="11" t="n">
        <x:v>0</x:v>
      </x:c>
      <x:c r="H39" s="11" t="n">
        <x:v>0</x:v>
      </x:c>
      <x:c r="I39" s="11" t="str"/>
      <x:c r="J39" s="6" t="str"/>
    </x:row>
    <x:row r="40" ht="15.75">
      <x:c r="A40" s="7" t="n">
        <x:v>38</x:v>
      </x:c>
      <x:c r="B40" s="7" t="str">
        <x:v>吴昱欣</x:v>
      </x:c>
      <x:c r="C40" s="7" t="str">
        <x:v>数学类2602班</x:v>
      </x:c>
      <x:c r="D40" s="8" t="str">
        <x:v>202611180</x:v>
      </x:c>
      <x:c r="E40" s="24" t="n">
        <x:f>MAX(0,1-F40)</x:f>
        <x:v>1</x:v>
      </x:c>
      <x:c r="F40" s="25" t="n">
        <x:f>MIN(1,(G40+H40)/1)</x:f>
        <x:v>0</x:v>
      </x:c>
      <x:c r="G40" s="11" t="n">
        <x:v>0</x:v>
      </x:c>
      <x:c r="H40" s="11" t="n">
        <x:v>0</x:v>
      </x:c>
      <x:c r="I40" s="11" t="str"/>
      <x:c r="J40" s="6" t="str"/>
    </x:row>
    <x:row r="41" ht="15.75">
      <x:c r="A41" s="7" t="n">
        <x:v>39</x:v>
      </x:c>
      <x:c r="B41" s="7" t="str">
        <x:v>高杰</x:v>
      </x:c>
      <x:c r="C41" s="7" t="str">
        <x:v>数学类2602班</x:v>
      </x:c>
      <x:c r="D41" s="8" t="str">
        <x:v>202611370</x:v>
      </x:c>
      <x:c r="E41" s="24" t="n">
        <x:f>MAX(0,1-F41)</x:f>
        <x:v>1</x:v>
      </x:c>
      <x:c r="F41" s="25" t="n">
        <x:f>MIN(1,(G41+H41)/1)</x:f>
        <x:v>0</x:v>
      </x:c>
      <x:c r="G41" s="11" t="n">
        <x:v>0</x:v>
      </x:c>
      <x:c r="H41" s="11" t="n">
        <x:v>0</x:v>
      </x:c>
      <x:c r="I41" s="11" t="str"/>
      <x:c r="J41" s="6" t="str"/>
    </x:row>
    <x:row r="42" ht="15.75">
      <x:c r="A42" s="7" t="n">
        <x:v>40</x:v>
      </x:c>
      <x:c r="B42" s="7" t="str">
        <x:v>王婧如</x:v>
      </x:c>
      <x:c r="C42" s="7" t="str">
        <x:v>数学类2602班</x:v>
      </x:c>
      <x:c r="D42" s="7" t="str">
        <x:v>202611563</x:v>
      </x:c>
      <x:c r="E42" s="24" t="n">
        <x:f>MAX(0,1-F42)</x:f>
        <x:v>1</x:v>
      </x:c>
      <x:c r="F42" s="25" t="n">
        <x:f>MIN(1,(G42+H42)/1)</x:f>
        <x:v>0</x:v>
      </x:c>
      <x:c r="G42" s="11" t="n">
        <x:v>0</x:v>
      </x:c>
      <x:c r="H42" s="11" t="n">
        <x:v>0</x:v>
      </x:c>
      <x:c r="I42" s="11" t="str"/>
      <x:c r="J42" s="6" t="str"/>
    </x:row>
    <x:row r="43" ht="15.75">
      <x:c r="A43" s="7" t="n">
        <x:v>41</x:v>
      </x:c>
      <x:c r="B43" s="7" t="str">
        <x:v>杨辉垚</x:v>
      </x:c>
      <x:c r="C43" s="7" t="str">
        <x:v>数学类2602班</x:v>
      </x:c>
      <x:c r="D43" s="8" t="str">
        <x:v>202611650</x:v>
      </x:c>
      <x:c r="E43" s="24" t="n">
        <x:f>MAX(0,1-F43)</x:f>
        <x:v>1</x:v>
      </x:c>
      <x:c r="F43" s="25" t="n">
        <x:f>MIN(1,(G43+H43)/1)</x:f>
        <x:v>0</x:v>
      </x:c>
      <x:c r="G43" s="11" t="n">
        <x:v>0</x:v>
      </x:c>
      <x:c r="H43" s="11" t="n">
        <x:v>0</x:v>
      </x:c>
      <x:c r="I43" s="12" t="str"/>
      <x:c r="J43" s="13" t="str"/>
    </x:row>
    <x:row r="44" ht="15.75">
      <x:c r="A44" s="7" t="n">
        <x:v>42</x:v>
      </x:c>
      <x:c r="B44" s="7" t="str">
        <x:v>汤嘉媛</x:v>
      </x:c>
      <x:c r="C44" s="7" t="str">
        <x:v>数学类2602班</x:v>
      </x:c>
      <x:c r="D44" s="8" t="str">
        <x:v>202611845</x:v>
      </x:c>
      <x:c r="E44" s="24" t="n">
        <x:f>MAX(0,1-F44)</x:f>
        <x:v>1</x:v>
      </x:c>
      <x:c r="F44" s="25" t="n">
        <x:f>MIN(1,(G44+H44)/1)</x:f>
        <x:v>0</x:v>
      </x:c>
      <x:c r="G44" s="11" t="n">
        <x:v>0</x:v>
      </x:c>
      <x:c r="H44" s="11" t="n">
        <x:v>0</x:v>
      </x:c>
      <x:c r="I44" s="12" t="str"/>
      <x:c r="J44" s="13" t="str"/>
    </x:row>
    <x:row r="45" ht="15.75">
      <x:c r="A45" s="7" t="n">
        <x:v>43</x:v>
      </x:c>
      <x:c r="B45" s="7" t="str">
        <x:v>易子乔</x:v>
      </x:c>
      <x:c r="C45" s="7" t="str">
        <x:v>数学类2602班</x:v>
      </x:c>
      <x:c r="D45" s="7" t="str">
        <x:v>202611948</x:v>
      </x:c>
      <x:c r="E45" s="24" t="n">
        <x:f>MAX(0,1-F45)</x:f>
        <x:v>1</x:v>
      </x:c>
      <x:c r="F45" s="25" t="n">
        <x:f>MIN(1,(G45+H45)/1)</x:f>
        <x:v>0</x:v>
      </x:c>
      <x:c r="G45" s="11" t="n">
        <x:v>0</x:v>
      </x:c>
      <x:c r="H45" s="11" t="n">
        <x:v>0</x:v>
      </x:c>
      <x:c r="I45" s="11" t="str"/>
      <x:c r="J45" s="6" t="str"/>
    </x:row>
    <x:row r="46" ht="15.75">
      <x:c r="A46" s="7" t="n">
        <x:v>44</x:v>
      </x:c>
      <x:c r="B46" s="7" t="str">
        <x:v>范佳鑫</x:v>
      </x:c>
      <x:c r="C46" s="7" t="str">
        <x:v>数学类2602班</x:v>
      </x:c>
      <x:c r="D46" s="7" t="str">
        <x:v>202612013</x:v>
      </x:c>
      <x:c r="E46" s="24" t="n">
        <x:f>MAX(0,1-F46)</x:f>
        <x:v>1</x:v>
      </x:c>
      <x:c r="F46" s="25" t="n">
        <x:f>MIN(1,(G46+H46)/1)</x:f>
        <x:v>0</x:v>
      </x:c>
      <x:c r="G46" s="11" t="n">
        <x:v>0</x:v>
      </x:c>
      <x:c r="H46" s="11" t="n">
        <x:v>0</x:v>
      </x:c>
      <x:c r="I46" s="11" t="str"/>
      <x:c r="J46" s="6" t="str"/>
    </x:row>
    <x:row r="47" ht="15.75">
      <x:c r="A47" s="7" t="n">
        <x:v>45</x:v>
      </x:c>
      <x:c r="B47" s="7" t="str">
        <x:v>刘子瑜</x:v>
      </x:c>
      <x:c r="C47" s="7" t="str">
        <x:v>数学类2602班</x:v>
      </x:c>
      <x:c r="D47" s="8" t="str">
        <x:v>202612063</x:v>
      </x:c>
      <x:c r="E47" s="24" t="n">
        <x:f>MAX(0,1-F47)</x:f>
        <x:v>1</x:v>
      </x:c>
      <x:c r="F47" s="25" t="n">
        <x:f>MIN(1,(G47+H47)/1)</x:f>
        <x:v>0</x:v>
      </x:c>
      <x:c r="G47" s="11" t="n">
        <x:v>0</x:v>
      </x:c>
      <x:c r="H47" s="11" t="n">
        <x:v>0</x:v>
      </x:c>
      <x:c r="I47" s="11" t="str"/>
      <x:c r="J47" s="6" t="str"/>
    </x:row>
    <x:row r="48" ht="15.75">
      <x:c r="A48" s="7" t="n">
        <x:v>46</x:v>
      </x:c>
      <x:c r="B48" s="7" t="str">
        <x:v>范泽宇</x:v>
      </x:c>
      <x:c r="C48" s="7" t="str">
        <x:v>数学类2602班</x:v>
      </x:c>
      <x:c r="D48" s="8" t="str">
        <x:v>202612189</x:v>
      </x:c>
      <x:c r="E48" s="24" t="n">
        <x:f>MAX(0,1-F48)</x:f>
        <x:v>1</x:v>
      </x:c>
      <x:c r="F48" s="25" t="n">
        <x:f>MIN(1,(G48+H48)/1)</x:f>
        <x:v>0</x:v>
      </x:c>
      <x:c r="G48" s="11" t="n">
        <x:v>0</x:v>
      </x:c>
      <x:c r="H48" s="11" t="n">
        <x:v>0</x:v>
      </x:c>
      <x:c r="I48" s="11" t="str"/>
      <x:c r="J48" s="6" t="str"/>
    </x:row>
    <x:row r="49" ht="15.75">
      <x:c r="A49" s="7" t="n">
        <x:v>47</x:v>
      </x:c>
      <x:c r="B49" s="7" t="str">
        <x:v>徐文硕</x:v>
      </x:c>
      <x:c r="C49" s="7" t="str">
        <x:v>数学类2602班</x:v>
      </x:c>
      <x:c r="D49" s="8" t="str">
        <x:v>202612291</x:v>
      </x:c>
      <x:c r="E49" s="24" t="n">
        <x:f>MAX(0,1-F49)</x:f>
        <x:v>1</x:v>
      </x:c>
      <x:c r="F49" s="25" t="n">
        <x:f>MIN(1,(G49+H49)/1)</x:f>
        <x:v>0</x:v>
      </x:c>
      <x:c r="G49" s="11" t="n">
        <x:v>0</x:v>
      </x:c>
      <x:c r="H49" s="11" t="n">
        <x:v>0</x:v>
      </x:c>
      <x:c r="I49" s="11" t="str"/>
      <x:c r="J49" s="6" t="str"/>
    </x:row>
    <x:row r="50" ht="15.75">
      <x:c r="A50" s="7" t="n">
        <x:v>48</x:v>
      </x:c>
      <x:c r="B50" s="7" t="str">
        <x:v>朱晓文</x:v>
      </x:c>
      <x:c r="C50" s="7" t="str">
        <x:v>数学类2602班</x:v>
      </x:c>
      <x:c r="D50" s="8" t="str">
        <x:v>202612377</x:v>
      </x:c>
      <x:c r="E50" s="24" t="n">
        <x:f>MAX(0,1-F50)</x:f>
        <x:v>1</x:v>
      </x:c>
      <x:c r="F50" s="25" t="n">
        <x:f>MIN(1,(G50+H50)/1)</x:f>
        <x:v>0</x:v>
      </x:c>
      <x:c r="G50" s="11" t="n">
        <x:v>0</x:v>
      </x:c>
      <x:c r="H50" s="11" t="n">
        <x:v>0</x:v>
      </x:c>
      <x:c r="I50" s="11" t="str"/>
      <x:c r="J50" s="6" t="str"/>
    </x:row>
    <x:row r="51" ht="15.75">
      <x:c r="A51" s="7" t="n">
        <x:v>49</x:v>
      </x:c>
      <x:c r="B51" s="7" t="str">
        <x:v>程玉富</x:v>
      </x:c>
      <x:c r="C51" s="7" t="str">
        <x:v>数学类2602班</x:v>
      </x:c>
      <x:c r="D51" s="7" t="str">
        <x:v>202612491</x:v>
      </x:c>
      <x:c r="E51" s="24" t="n">
        <x:f>MAX(0,1-F51)</x:f>
        <x:v>1</x:v>
      </x:c>
      <x:c r="F51" s="25" t="n">
        <x:f>MIN(1,(G51+H51)/1)</x:f>
        <x:v>0</x:v>
      </x:c>
      <x:c r="G51" s="11" t="n">
        <x:v>0</x:v>
      </x:c>
      <x:c r="H51" s="11" t="n">
        <x:v>0</x:v>
      </x:c>
      <x:c r="I51" s="11" t="str"/>
      <x:c r="J51" s="6" t="str"/>
    </x:row>
    <x:row r="52" ht="15.75">
      <x:c r="A52" s="7" t="n">
        <x:v>50</x:v>
      </x:c>
      <x:c r="B52" s="7" t="str">
        <x:v>杨景贻</x:v>
      </x:c>
      <x:c r="C52" s="7" t="str">
        <x:v>数学类2602班</x:v>
      </x:c>
      <x:c r="D52" s="7" t="str">
        <x:v>202612550</x:v>
      </x:c>
      <x:c r="E52" s="24" t="n">
        <x:f>MAX(0,1-F52)</x:f>
        <x:v>1</x:v>
      </x:c>
      <x:c r="F52" s="25" t="n">
        <x:f>MIN(1,(G52+H52)/1)</x:f>
        <x:v>0</x:v>
      </x:c>
      <x:c r="G52" s="11" t="n">
        <x:v>0</x:v>
      </x:c>
      <x:c r="H52" s="11" t="n">
        <x:v>0</x:v>
      </x:c>
      <x:c r="I52" s="11" t="str"/>
      <x:c r="J52" s="6" t="str"/>
    </x:row>
    <x:row r="53" ht="15.75">
      <x:c r="A53" s="7" t="n">
        <x:v>51</x:v>
      </x:c>
      <x:c r="B53" s="7" t="str">
        <x:v>陈钰冰</x:v>
      </x:c>
      <x:c r="C53" s="7" t="str">
        <x:v>数学类2602班</x:v>
      </x:c>
      <x:c r="D53" s="8" t="str">
        <x:v>202612616</x:v>
      </x:c>
      <x:c r="E53" s="24" t="n">
        <x:f>MAX(0,1-F53)</x:f>
        <x:v>1</x:v>
      </x:c>
      <x:c r="F53" s="25" t="n">
        <x:f>MIN(1,(G53+H53)/1)</x:f>
        <x:v>0</x:v>
      </x:c>
      <x:c r="G53" s="11" t="n">
        <x:v>0</x:v>
      </x:c>
      <x:c r="H53" s="11" t="n">
        <x:v>0</x:v>
      </x:c>
      <x:c r="I53" s="11" t="str"/>
      <x:c r="J53" s="6" t="str"/>
    </x:row>
    <x:row r="54" ht="15.75">
      <x:c r="A54" s="7" t="n">
        <x:v>52</x:v>
      </x:c>
      <x:c r="B54" s="7" t="str">
        <x:v>王子栋</x:v>
      </x:c>
      <x:c r="C54" s="7" t="str">
        <x:v>数学类2602班</x:v>
      </x:c>
      <x:c r="D54" s="8" t="str">
        <x:v>202612728</x:v>
      </x:c>
      <x:c r="E54" s="24" t="n">
        <x:f>MAX(0,1-F54)</x:f>
        <x:v>1</x:v>
      </x:c>
      <x:c r="F54" s="25" t="n">
        <x:f>MIN(1,(G54+H54)/1)</x:f>
        <x:v>0</x:v>
      </x:c>
      <x:c r="G54" s="11" t="n">
        <x:v>0</x:v>
      </x:c>
      <x:c r="H54" s="11" t="n">
        <x:v>0</x:v>
      </x:c>
      <x:c r="I54" s="11" t="str"/>
      <x:c r="J54" s="6" t="str"/>
    </x:row>
    <x:row r="55" ht="54">
      <x:c r="A55" s="7" t="n">
        <x:v>53</x:v>
      </x:c>
      <x:c r="B55" s="7" t="str">
        <x:v>宋聪慧怡</x:v>
      </x:c>
      <x:c r="C55" s="7" t="str">
        <x:v>数学类2602班</x:v>
      </x:c>
      <x:c r="D55" s="8" t="str">
        <x:v>202612758</x:v>
      </x:c>
      <x:c r="E55" s="24" t="n">
        <x:f>MAX(0,1-F55)</x:f>
        <x:v>1</x:v>
      </x:c>
      <x:c r="F55" s="25" t="n">
        <x:f>MIN(1,(G55+H55)/1)</x:f>
        <x:v>0</x:v>
      </x:c>
      <x:c r="G55" s="11" t="n">
        <x:v>0</x:v>
      </x:c>
      <x:c r="H55" s="11" t="n">
        <x:v>0</x:v>
      </x:c>
      <x:c r="I55" s="19" t="str"/>
      <x:c r="J55" s="6" t="str"/>
    </x:row>
    <x:row r="56" ht="15.75">
      <x:c r="A56" s="7" t="n">
        <x:v>54</x:v>
      </x:c>
      <x:c r="B56" s="7" t="str">
        <x:v>储子轩</x:v>
      </x:c>
      <x:c r="C56" s="7" t="str">
        <x:v>数学类2602班</x:v>
      </x:c>
      <x:c r="D56" s="7" t="str">
        <x:v>202612912</x:v>
      </x:c>
      <x:c r="E56" s="24" t="n">
        <x:f>MAX(0,1-F56)</x:f>
        <x:v>1</x:v>
      </x:c>
      <x:c r="F56" s="25" t="n">
        <x:f>MIN(1,(G56+H56)/1)</x:f>
        <x:v>0</x:v>
      </x:c>
      <x:c r="G56" s="11" t="n">
        <x:v>0</x:v>
      </x:c>
      <x:c r="H56" s="11" t="n">
        <x:v>0</x:v>
      </x:c>
      <x:c r="I56" s="11" t="str"/>
      <x:c r="J56" s="6" t="str"/>
    </x:row>
    <x:row r="57" ht="15.75">
      <x:c r="A57" s="7" t="n">
        <x:v>55</x:v>
      </x:c>
      <x:c r="B57" s="7" t="str">
        <x:v>吴思佳</x:v>
      </x:c>
      <x:c r="C57" s="7" t="str">
        <x:v>数学类2602班</x:v>
      </x:c>
      <x:c r="D57" s="7" t="str">
        <x:v>202613064</x:v>
      </x:c>
      <x:c r="E57" s="24" t="n">
        <x:f>MAX(0,1-F57)</x:f>
        <x:v>1</x:v>
      </x:c>
      <x:c r="F57" s="25" t="n">
        <x:f>MIN(1,(G57+H57)/1)</x:f>
        <x:v>0</x:v>
      </x:c>
      <x:c r="G57" s="11" t="n">
        <x:v>0</x:v>
      </x:c>
      <x:c r="H57" s="11" t="n">
        <x:v>0</x:v>
      </x:c>
      <x:c r="I57" s="11" t="str"/>
      <x:c r="J57" s="6" t="str"/>
    </x:row>
    <x:row r="58" ht="15.75">
      <x:c r="A58" s="7" t="n">
        <x:v>56</x:v>
      </x:c>
      <x:c r="B58" s="7" t="str">
        <x:v>杨宇飞</x:v>
      </x:c>
      <x:c r="C58" s="7" t="str">
        <x:v>数学类2602班</x:v>
      </x:c>
      <x:c r="D58" s="8" t="str">
        <x:v>202613108</x:v>
      </x:c>
      <x:c r="E58" s="24" t="n">
        <x:f>MAX(0,1-F58)</x:f>
        <x:v>1</x:v>
      </x:c>
      <x:c r="F58" s="25" t="n">
        <x:f>MIN(1,(G58+H58)/1)</x:f>
        <x:v>0</x:v>
      </x:c>
      <x:c r="G58" s="11" t="n">
        <x:v>0</x:v>
      </x:c>
      <x:c r="H58" s="11" t="n">
        <x:v>0</x:v>
      </x:c>
      <x:c r="I58" s="11" t="str"/>
      <x:c r="J58" s="6" t="str"/>
    </x:row>
    <x:row r="59" ht="15.75">
      <x:c r="A59" s="7" t="n">
        <x:v>57</x:v>
      </x:c>
      <x:c r="B59" s="7" t="str">
        <x:v>张金栋</x:v>
      </x:c>
      <x:c r="C59" s="7" t="str">
        <x:v>数学类2603班</x:v>
      </x:c>
      <x:c r="D59" s="7" t="str">
        <x:v>202610066</x:v>
      </x:c>
      <x:c r="E59" s="24" t="n">
        <x:f>MAX(0,1-F59)</x:f>
        <x:v>1</x:v>
      </x:c>
      <x:c r="F59" s="25" t="n">
        <x:f>MIN(1,(G59+H59)/1)</x:f>
        <x:v>0</x:v>
      </x:c>
      <x:c r="G59" s="11" t="n">
        <x:v>0</x:v>
      </x:c>
      <x:c r="H59" s="11" t="n">
        <x:v>0</x:v>
      </x:c>
      <x:c r="I59" s="11" t="str"/>
      <x:c r="J59" s="6" t="str"/>
    </x:row>
    <x:row r="60" ht="15.75">
      <x:c r="A60" s="7" t="n">
        <x:v>58</x:v>
      </x:c>
      <x:c r="B60" s="7" t="str">
        <x:v>张雨泽</x:v>
      </x:c>
      <x:c r="C60" s="7" t="str">
        <x:v>数学类2603班</x:v>
      </x:c>
      <x:c r="D60" s="8" t="str">
        <x:v>202610105</x:v>
      </x:c>
      <x:c r="E60" s="24" t="n">
        <x:f>MAX(0,1-F60)</x:f>
        <x:v>1</x:v>
      </x:c>
      <x:c r="F60" s="25" t="n">
        <x:f>MIN(1,(G60+H60)/1)</x:f>
        <x:v>0</x:v>
      </x:c>
      <x:c r="G60" s="11" t="n">
        <x:v>0</x:v>
      </x:c>
      <x:c r="H60" s="11" t="n">
        <x:v>0</x:v>
      </x:c>
      <x:c r="I60" s="11" t="str"/>
      <x:c r="J60" s="6" t="str"/>
    </x:row>
    <x:row r="61" ht="15.75">
      <x:c r="A61" s="7" t="n">
        <x:v>59</x:v>
      </x:c>
      <x:c r="B61" s="7" t="str">
        <x:v>李俊伟</x:v>
      </x:c>
      <x:c r="C61" s="7" t="str">
        <x:v>数学类2603班</x:v>
      </x:c>
      <x:c r="D61" s="8" t="str">
        <x:v>202610281</x:v>
      </x:c>
      <x:c r="E61" s="24" t="n">
        <x:f>MAX(0,1-F61)</x:f>
        <x:v>1</x:v>
      </x:c>
      <x:c r="F61" s="25" t="n">
        <x:f>MIN(1,(G61+H61)/1)</x:f>
        <x:v>0</x:v>
      </x:c>
      <x:c r="G61" s="11" t="n">
        <x:v>0</x:v>
      </x:c>
      <x:c r="H61" s="11" t="n">
        <x:v>0</x:v>
      </x:c>
      <x:c r="I61" s="11" t="str"/>
      <x:c r="J61" s="6" t="str"/>
    </x:row>
    <x:row r="62" ht="15.75">
      <x:c r="A62" s="7" t="n">
        <x:v>60</x:v>
      </x:c>
      <x:c r="B62" s="7" t="str">
        <x:v>李佳润</x:v>
      </x:c>
      <x:c r="C62" s="7" t="str">
        <x:v>数学类2603班</x:v>
      </x:c>
      <x:c r="D62" s="7" t="str">
        <x:v>202610470</x:v>
      </x:c>
      <x:c r="E62" s="24" t="n">
        <x:f>MAX(0,1-F62)</x:f>
        <x:v>1</x:v>
      </x:c>
      <x:c r="F62" s="25" t="n">
        <x:f>MIN(1,(G62+H62)/1)</x:f>
        <x:v>0</x:v>
      </x:c>
      <x:c r="G62" s="11" t="n">
        <x:v>0</x:v>
      </x:c>
      <x:c r="H62" s="11" t="n">
        <x:v>0</x:v>
      </x:c>
      <x:c r="I62" s="11" t="str"/>
      <x:c r="J62" s="6" t="str"/>
    </x:row>
    <x:row r="63" ht="15.75">
      <x:c r="A63" s="7" t="n">
        <x:v>61</x:v>
      </x:c>
      <x:c r="B63" s="7" t="str">
        <x:v>吴世煊</x:v>
      </x:c>
      <x:c r="C63" s="7" t="str">
        <x:v>数学类2603班</x:v>
      </x:c>
      <x:c r="D63" s="8" t="str">
        <x:v>202610483</x:v>
      </x:c>
      <x:c r="E63" s="24" t="n">
        <x:f>MAX(0,1-F63)</x:f>
        <x:v>1</x:v>
      </x:c>
      <x:c r="F63" s="25" t="n">
        <x:f>MIN(1,(G63+H63)/1)</x:f>
        <x:v>0</x:v>
      </x:c>
      <x:c r="G63" s="11" t="n">
        <x:v>0</x:v>
      </x:c>
      <x:c r="H63" s="11" t="n">
        <x:v>0</x:v>
      </x:c>
      <x:c r="I63" s="11" t="str"/>
      <x:c r="J63" s="6" t="str"/>
    </x:row>
    <x:row r="64" ht="15.75">
      <x:c r="A64" s="7" t="n">
        <x:v>62</x:v>
      </x:c>
      <x:c r="B64" s="7" t="str">
        <x:v>屠熙然</x:v>
      </x:c>
      <x:c r="C64" s="7" t="str">
        <x:v>数学类2603班</x:v>
      </x:c>
      <x:c r="D64" s="7" t="str">
        <x:v>202610751</x:v>
      </x:c>
      <x:c r="E64" s="24" t="n">
        <x:f>MAX(0,1-F64)</x:f>
        <x:v>1</x:v>
      </x:c>
      <x:c r="F64" s="25" t="n">
        <x:f>MIN(1,(G64+H64)/1)</x:f>
        <x:v>0</x:v>
      </x:c>
      <x:c r="G64" s="11" t="n">
        <x:v>0</x:v>
      </x:c>
      <x:c r="H64" s="11" t="n">
        <x:v>0</x:v>
      </x:c>
      <x:c r="I64" s="11" t="str"/>
      <x:c r="J64" s="6" t="str"/>
    </x:row>
    <x:row r="65" ht="15.75">
      <x:c r="A65" s="7" t="n">
        <x:v>63</x:v>
      </x:c>
      <x:c r="B65" s="7" t="str">
        <x:v>姜思琦</x:v>
      </x:c>
      <x:c r="C65" s="7" t="str">
        <x:v>数学类2603班</x:v>
      </x:c>
      <x:c r="D65" s="8" t="str">
        <x:v>202610838</x:v>
      </x:c>
      <x:c r="E65" s="24" t="n">
        <x:f>MAX(0,1-F65)</x:f>
        <x:v>1</x:v>
      </x:c>
      <x:c r="F65" s="25" t="n">
        <x:f>MIN(1,(G65+H65)/1)</x:f>
        <x:v>0</x:v>
      </x:c>
      <x:c r="G65" s="11" t="n">
        <x:v>0</x:v>
      </x:c>
      <x:c r="H65" s="11" t="n">
        <x:v>0</x:v>
      </x:c>
      <x:c r="I65" s="12" t="str"/>
      <x:c r="J65" s="6" t="str"/>
    </x:row>
    <x:row r="66" ht="15.75">
      <x:c r="A66" s="7" t="n">
        <x:v>64</x:v>
      </x:c>
      <x:c r="B66" s="7" t="str">
        <x:v>付子铭</x:v>
      </x:c>
      <x:c r="C66" s="7" t="str">
        <x:v>数学类2603班</x:v>
      </x:c>
      <x:c r="D66" s="8" t="str">
        <x:v>202610872</x:v>
      </x:c>
      <x:c r="E66" s="24" t="n">
        <x:f>MAX(0,1-F66)</x:f>
        <x:v>1</x:v>
      </x:c>
      <x:c r="F66" s="25" t="n">
        <x:f>MIN(1,(G66+H66)/1)</x:f>
        <x:v>0</x:v>
      </x:c>
      <x:c r="G66" s="11" t="n">
        <x:v>0</x:v>
      </x:c>
      <x:c r="H66" s="11" t="n">
        <x:v>0</x:v>
      </x:c>
      <x:c r="I66" s="11" t="str"/>
      <x:c r="J66" s="6" t="str"/>
    </x:row>
    <x:row r="67" ht="15.75">
      <x:c r="A67" s="7" t="n">
        <x:v>65</x:v>
      </x:c>
      <x:c r="B67" s="7" t="str">
        <x:v>刘浩哲</x:v>
      </x:c>
      <x:c r="C67" s="7" t="str">
        <x:v>数学类2603班</x:v>
      </x:c>
      <x:c r="D67" s="8" t="str">
        <x:v>202611143</x:v>
      </x:c>
      <x:c r="E67" s="24" t="n">
        <x:f>MAX(0,1-F67)</x:f>
        <x:v>1</x:v>
      </x:c>
      <x:c r="F67" s="25" t="n">
        <x:f>MIN(1,(G67+H67)/1)</x:f>
        <x:v>0</x:v>
      </x:c>
      <x:c r="G67" s="11" t="n">
        <x:v>0</x:v>
      </x:c>
      <x:c r="H67" s="11" t="n">
        <x:v>0</x:v>
      </x:c>
      <x:c r="I67" s="11" t="str"/>
      <x:c r="J67" s="6" t="str"/>
    </x:row>
    <x:row r="68" ht="15.75">
      <x:c r="A68" s="7" t="n">
        <x:v>66</x:v>
      </x:c>
      <x:c r="B68" s="7" t="str">
        <x:v>邱予涵</x:v>
      </x:c>
      <x:c r="C68" s="7" t="str">
        <x:v>数学类2603班</x:v>
      </x:c>
      <x:c r="D68" s="8" t="str">
        <x:v>202611237</x:v>
      </x:c>
      <x:c r="E68" s="24" t="n">
        <x:f>MAX(0,1-F68)</x:f>
        <x:v>1</x:v>
      </x:c>
      <x:c r="F68" s="25" t="n">
        <x:f>MIN(1,(G68+H68)/1)</x:f>
        <x:v>0</x:v>
      </x:c>
      <x:c r="G68" s="11" t="n">
        <x:v>0</x:v>
      </x:c>
      <x:c r="H68" s="11" t="n">
        <x:v>0</x:v>
      </x:c>
      <x:c r="I68" s="11" t="str"/>
      <x:c r="J68" s="6" t="str"/>
    </x:row>
    <x:row r="69" ht="15.75">
      <x:c r="A69" s="7" t="n">
        <x:v>67</x:v>
      </x:c>
      <x:c r="B69" s="7" t="str">
        <x:v>汪琳琳</x:v>
      </x:c>
      <x:c r="C69" s="7" t="str">
        <x:v>数学类2603班</x:v>
      </x:c>
      <x:c r="D69" s="8" t="str">
        <x:v>202611426</x:v>
      </x:c>
      <x:c r="E69" s="24" t="n">
        <x:f>MAX(0,1-F69)</x:f>
        <x:v>1</x:v>
      </x:c>
      <x:c r="F69" s="25" t="n">
        <x:f>MIN(1,(G69+H69)/1)</x:f>
        <x:v>0</x:v>
      </x:c>
      <x:c r="G69" s="11" t="n">
        <x:v>0</x:v>
      </x:c>
      <x:c r="H69" s="11" t="n">
        <x:v>0</x:v>
      </x:c>
      <x:c r="I69" s="11" t="str"/>
      <x:c r="J69" s="6" t="str"/>
    </x:row>
    <x:row r="70" ht="15.75">
      <x:c r="A70" s="7" t="n">
        <x:v>68</x:v>
      </x:c>
      <x:c r="B70" s="7" t="str">
        <x:v>李奥含</x:v>
      </x:c>
      <x:c r="C70" s="7" t="str">
        <x:v>数学类2603班</x:v>
      </x:c>
      <x:c r="D70" s="7" t="str">
        <x:v>202611527</x:v>
      </x:c>
      <x:c r="E70" s="24" t="n">
        <x:f>MAX(0,1-F70)</x:f>
        <x:v>1</x:v>
      </x:c>
      <x:c r="F70" s="25" t="n">
        <x:f>MIN(1,(G70+H70)/1)</x:f>
        <x:v>0</x:v>
      </x:c>
      <x:c r="G70" s="11" t="n">
        <x:v>0</x:v>
      </x:c>
      <x:c r="H70" s="11" t="n">
        <x:v>0</x:v>
      </x:c>
      <x:c r="I70" s="11" t="str"/>
      <x:c r="J70" s="6" t="str"/>
    </x:row>
    <x:row r="71" ht="15.75">
      <x:c r="A71" s="7" t="n">
        <x:v>69</x:v>
      </x:c>
      <x:c r="B71" s="7" t="str">
        <x:v>徐志锋</x:v>
      </x:c>
      <x:c r="C71" s="7" t="str">
        <x:v>数学类2603班</x:v>
      </x:c>
      <x:c r="D71" s="8" t="str">
        <x:v>202611653</x:v>
      </x:c>
      <x:c r="E71" s="24" t="n">
        <x:f>MAX(0,1-F71)</x:f>
        <x:v>1</x:v>
      </x:c>
      <x:c r="F71" s="25" t="n">
        <x:f>MIN(1,(G71+H71)/1)</x:f>
        <x:v>0</x:v>
      </x:c>
      <x:c r="G71" s="11" t="n">
        <x:v>0</x:v>
      </x:c>
      <x:c r="H71" s="11" t="n">
        <x:v>0</x:v>
      </x:c>
      <x:c r="I71" s="11" t="str"/>
      <x:c r="J71" s="6" t="str"/>
    </x:row>
    <x:row r="72" ht="15.75">
      <x:c r="A72" s="7" t="n">
        <x:v>70</x:v>
      </x:c>
      <x:c r="B72" s="7" t="str">
        <x:v>庞宗朋</x:v>
      </x:c>
      <x:c r="C72" s="7" t="str">
        <x:v>数学类2603班</x:v>
      </x:c>
      <x:c r="D72" s="14" t="str">
        <x:v>202611975</x:v>
      </x:c>
      <x:c r="E72" s="24" t="n">
        <x:f>MAX(0,1-F72)</x:f>
        <x:v>1</x:v>
      </x:c>
      <x:c r="F72" s="25" t="n">
        <x:f>MIN(1,(G72+H72)/1)</x:f>
        <x:v>0</x:v>
      </x:c>
      <x:c r="G72" s="11" t="n">
        <x:v>0</x:v>
      </x:c>
      <x:c r="H72" s="11" t="n">
        <x:v>0</x:v>
      </x:c>
      <x:c r="I72" s="11" t="str"/>
      <x:c r="J72" s="6" t="str"/>
    </x:row>
    <x:row r="73" ht="15.75">
      <x:c r="A73" s="7" t="n">
        <x:v>71</x:v>
      </x:c>
      <x:c r="B73" s="7" t="str">
        <x:v>张钧毓</x:v>
      </x:c>
      <x:c r="C73" s="7" t="str">
        <x:v>数学类2603班</x:v>
      </x:c>
      <x:c r="D73" s="8" t="str">
        <x:v>202612057</x:v>
      </x:c>
      <x:c r="E73" s="24" t="n">
        <x:f>MAX(0,1-F73)</x:f>
        <x:v>1</x:v>
      </x:c>
      <x:c r="F73" s="25" t="n">
        <x:f>MIN(1,(G73+H73)/1)</x:f>
        <x:v>0</x:v>
      </x:c>
      <x:c r="G73" s="11" t="n">
        <x:v>0</x:v>
      </x:c>
      <x:c r="H73" s="11" t="n">
        <x:v>0</x:v>
      </x:c>
      <x:c r="I73" s="12" t="str"/>
      <x:c r="J73" s="6" t="str"/>
    </x:row>
    <x:row r="74" ht="15.75">
      <x:c r="A74" s="7" t="n">
        <x:v>72</x:v>
      </x:c>
      <x:c r="B74" s="7" t="str">
        <x:v>印海鑫</x:v>
      </x:c>
      <x:c r="C74" s="7" t="str">
        <x:v>数学类2603班</x:v>
      </x:c>
      <x:c r="D74" s="7" t="str">
        <x:v>202612287</x:v>
      </x:c>
      <x:c r="E74" s="24" t="n">
        <x:f>MAX(0,1-F74)</x:f>
        <x:v>1</x:v>
      </x:c>
      <x:c r="F74" s="25" t="n">
        <x:f>MIN(1,(G74+H74)/1)</x:f>
        <x:v>0</x:v>
      </x:c>
      <x:c r="G74" s="11" t="n">
        <x:v>0</x:v>
      </x:c>
      <x:c r="H74" s="11" t="n">
        <x:v>0</x:v>
      </x:c>
      <x:c r="I74" s="11" t="str"/>
      <x:c r="J74" s="6" t="str"/>
    </x:row>
    <x:row r="75" ht="15.75">
      <x:c r="A75" s="7" t="n">
        <x:v>73</x:v>
      </x:c>
      <x:c r="B75" s="7" t="str">
        <x:v>付瑞祎</x:v>
      </x:c>
      <x:c r="C75" s="7" t="str">
        <x:v>数学类2603班</x:v>
      </x:c>
      <x:c r="D75" s="8" t="str">
        <x:v>202612381</x:v>
      </x:c>
      <x:c r="E75" s="24" t="n">
        <x:f>MAX(0,1-F75)</x:f>
        <x:v>1</x:v>
      </x:c>
      <x:c r="F75" s="25" t="n">
        <x:f>MIN(1,(G75+H75)/1)</x:f>
        <x:v>0</x:v>
      </x:c>
      <x:c r="G75" s="11" t="n">
        <x:v>0</x:v>
      </x:c>
      <x:c r="H75" s="11" t="n">
        <x:v>0</x:v>
      </x:c>
      <x:c r="I75" s="11" t="str"/>
      <x:c r="J75" s="6" t="str"/>
    </x:row>
    <x:row r="76" ht="15.75">
      <x:c r="A76" s="7" t="n">
        <x:v>74</x:v>
      </x:c>
      <x:c r="B76" s="7" t="str">
        <x:v>邓佳玲</x:v>
      </x:c>
      <x:c r="C76" s="7" t="str">
        <x:v>数学类2603班</x:v>
      </x:c>
      <x:c r="D76" s="7" t="str">
        <x:v>202612438</x:v>
      </x:c>
      <x:c r="E76" s="24" t="n">
        <x:f>MAX(0,1-F76)</x:f>
        <x:v>1</x:v>
      </x:c>
      <x:c r="F76" s="25" t="n">
        <x:f>MIN(1,(G76+H76)/1)</x:f>
        <x:v>0</x:v>
      </x:c>
      <x:c r="G76" s="11" t="n">
        <x:v>0</x:v>
      </x:c>
      <x:c r="H76" s="11" t="n">
        <x:v>0</x:v>
      </x:c>
      <x:c r="I76" s="11" t="str"/>
      <x:c r="J76" s="6" t="str"/>
    </x:row>
    <x:row r="77" ht="15.75">
      <x:c r="A77" s="7" t="n">
        <x:v>75</x:v>
      </x:c>
      <x:c r="B77" s="7" t="str">
        <x:v>刘旭</x:v>
      </x:c>
      <x:c r="C77" s="7" t="str">
        <x:v>数学类2603班</x:v>
      </x:c>
      <x:c r="D77" s="8" t="str">
        <x:v>202612500</x:v>
      </x:c>
      <x:c r="E77" s="24" t="n">
        <x:f>MAX(0,1-F77)</x:f>
        <x:v>1</x:v>
      </x:c>
      <x:c r="F77" s="25" t="n">
        <x:f>MIN(1,(G77+H77)/1)</x:f>
        <x:v>0</x:v>
      </x:c>
      <x:c r="G77" s="11" t="n">
        <x:v>0</x:v>
      </x:c>
      <x:c r="H77" s="11" t="n">
        <x:v>0</x:v>
      </x:c>
      <x:c r="I77" s="11" t="str"/>
      <x:c r="J77" s="6" t="str"/>
    </x:row>
    <x:row r="78" ht="15.75">
      <x:c r="A78" s="7" t="n">
        <x:v>76</x:v>
      </x:c>
      <x:c r="B78" s="7" t="str">
        <x:v>刘铮杰</x:v>
      </x:c>
      <x:c r="C78" s="7" t="str">
        <x:v>数学类2603班</x:v>
      </x:c>
      <x:c r="D78" s="8" t="str">
        <x:v>202612551</x:v>
      </x:c>
      <x:c r="E78" s="24" t="n">
        <x:f>MAX(0,1-F78)</x:f>
        <x:v>1</x:v>
      </x:c>
      <x:c r="F78" s="25" t="n">
        <x:f>MIN(1,(G78+H78)/1)</x:f>
        <x:v>0</x:v>
      </x:c>
      <x:c r="G78" s="11" t="n">
        <x:v>0</x:v>
      </x:c>
      <x:c r="H78" s="11" t="n">
        <x:v>0</x:v>
      </x:c>
      <x:c r="I78" s="11" t="str"/>
      <x:c r="J78" s="6" t="str"/>
    </x:row>
    <x:row r="79" ht="15.75">
      <x:c r="A79" s="7" t="n">
        <x:v>77</x:v>
      </x:c>
      <x:c r="B79" s="7" t="str">
        <x:v>陈贞伶</x:v>
      </x:c>
      <x:c r="C79" s="7" t="str">
        <x:v>数学类2603班</x:v>
      </x:c>
      <x:c r="D79" s="7" t="str">
        <x:v>202612623</x:v>
      </x:c>
      <x:c r="E79" s="24" t="n">
        <x:f>MAX(0,1-F79)</x:f>
        <x:v>1</x:v>
      </x:c>
      <x:c r="F79" s="25" t="n">
        <x:f>MIN(1,(G79+H79)/1)</x:f>
        <x:v>0</x:v>
      </x:c>
      <x:c r="G79" s="11" t="n">
        <x:v>0</x:v>
      </x:c>
      <x:c r="H79" s="11" t="n">
        <x:v>0</x:v>
      </x:c>
      <x:c r="I79" s="11" t="str"/>
      <x:c r="J79" s="6" t="str"/>
    </x:row>
    <x:row r="80" ht="15.75">
      <x:c r="A80" s="7" t="n">
        <x:v>78</x:v>
      </x:c>
      <x:c r="B80" s="7" t="str">
        <x:v>张树远</x:v>
      </x:c>
      <x:c r="C80" s="7" t="str">
        <x:v>数学类2603班</x:v>
      </x:c>
      <x:c r="D80" s="7" t="str">
        <x:v>202612669</x:v>
      </x:c>
      <x:c r="E80" s="24" t="n">
        <x:f>MAX(0,1-F80)</x:f>
        <x:v>1</x:v>
      </x:c>
      <x:c r="F80" s="25" t="n">
        <x:f>MIN(1,(G80+H80)/1)</x:f>
        <x:v>0</x:v>
      </x:c>
      <x:c r="G80" s="11" t="n">
        <x:v>0</x:v>
      </x:c>
      <x:c r="H80" s="11" t="n">
        <x:v>0</x:v>
      </x:c>
      <x:c r="I80" s="11" t="str"/>
      <x:c r="J80" s="6" t="str"/>
    </x:row>
    <x:row r="81" ht="15.75">
      <x:c r="A81" s="7" t="n">
        <x:v>79</x:v>
      </x:c>
      <x:c r="B81" s="7" t="str">
        <x:v>汪睿</x:v>
      </x:c>
      <x:c r="C81" s="7" t="str">
        <x:v>数学类2603班</x:v>
      </x:c>
      <x:c r="D81" s="8" t="str">
        <x:v>202612759</x:v>
      </x:c>
      <x:c r="E81" s="24" t="n">
        <x:f>MAX(0,1-F81)</x:f>
        <x:v>1</x:v>
      </x:c>
      <x:c r="F81" s="25" t="n">
        <x:f>MIN(1,(G81+H81)/1)</x:f>
        <x:v>0</x:v>
      </x:c>
      <x:c r="G81" s="11" t="n">
        <x:v>0</x:v>
      </x:c>
      <x:c r="H81" s="11" t="n">
        <x:v>0</x:v>
      </x:c>
      <x:c r="I81" s="11" t="str"/>
      <x:c r="J81" s="6" t="str"/>
    </x:row>
    <x:row r="82" ht="15.75">
      <x:c r="A82" s="7" t="n">
        <x:v>80</x:v>
      </x:c>
      <x:c r="B82" s="7" t="str">
        <x:v>武琳岩</x:v>
      </x:c>
      <x:c r="C82" s="7" t="str">
        <x:v>数学类2603班</x:v>
      </x:c>
      <x:c r="D82" s="8" t="str">
        <x:v>202612781</x:v>
      </x:c>
      <x:c r="E82" s="24" t="n">
        <x:f>MAX(0,1-F82)</x:f>
        <x:v>1</x:v>
      </x:c>
      <x:c r="F82" s="25" t="n">
        <x:f>MIN(1,(G82+H82)/1)</x:f>
        <x:v>0</x:v>
      </x:c>
      <x:c r="G82" s="11" t="n">
        <x:v>0</x:v>
      </x:c>
      <x:c r="H82" s="11" t="n">
        <x:v>0</x:v>
      </x:c>
      <x:c r="I82" s="11" t="str"/>
      <x:c r="J82" s="6" t="str"/>
    </x:row>
    <x:row r="83" ht="15.75">
      <x:c r="A83" s="7" t="n">
        <x:v>81</x:v>
      </x:c>
      <x:c r="B83" s="7" t="str">
        <x:v>刘家甫</x:v>
      </x:c>
      <x:c r="C83" s="7" t="str">
        <x:v>数学类2603班</x:v>
      </x:c>
      <x:c r="D83" s="8" t="str">
        <x:v>202613017</x:v>
      </x:c>
      <x:c r="E83" s="24" t="n">
        <x:f>MAX(0,1-F83)</x:f>
        <x:v>1</x:v>
      </x:c>
      <x:c r="F83" s="25" t="n">
        <x:f>MIN(1,(G83+H83)/1)</x:f>
        <x:v>0</x:v>
      </x:c>
      <x:c r="G83" s="11" t="n">
        <x:v>0</x:v>
      </x:c>
      <x:c r="H83" s="11" t="n">
        <x:v>0</x:v>
      </x:c>
      <x:c r="I83" s="11" t="str"/>
      <x:c r="J83" s="6" t="str"/>
    </x:row>
    <x:row r="84" ht="15.75">
      <x:c r="A84" s="7" t="n">
        <x:v>82</x:v>
      </x:c>
      <x:c r="B84" s="7" t="str">
        <x:v>孙晨轩</x:v>
      </x:c>
      <x:c r="C84" s="7" t="str">
        <x:v>数学类2603班</x:v>
      </x:c>
      <x:c r="D84" s="7" t="str">
        <x:v>202613041</x:v>
      </x:c>
      <x:c r="E84" s="24" t="n">
        <x:f>MAX(0,1-F84)</x:f>
        <x:v>1</x:v>
      </x:c>
      <x:c r="F84" s="25" t="n">
        <x:f>MIN(1,(G84+H84)/1)</x:f>
        <x:v>0</x:v>
      </x:c>
      <x:c r="G84" s="11" t="n">
        <x:v>0</x:v>
      </x:c>
      <x:c r="H84" s="11" t="n">
        <x:v>0</x:v>
      </x:c>
      <x:c r="I84" s="11" t="str"/>
      <x:c r="J84" s="6" t="str"/>
    </x:row>
    <x:row r="85" ht="15.75">
      <x:c r="A85" s="7" t="n">
        <x:v>83</x:v>
      </x:c>
      <x:c r="B85" s="7" t="str">
        <x:v>郑丁莱</x:v>
      </x:c>
      <x:c r="C85" s="7" t="str">
        <x:v>数学类2603班</x:v>
      </x:c>
      <x:c r="D85" s="7" t="str">
        <x:v>202613123</x:v>
      </x:c>
      <x:c r="E85" s="24" t="n">
        <x:f>MAX(0,1-F85)</x:f>
        <x:v>1</x:v>
      </x:c>
      <x:c r="F85" s="25" t="n">
        <x:f>MIN(1,(G85+H85)/1)</x:f>
        <x:v>0</x:v>
      </x:c>
      <x:c r="G85" s="11" t="n">
        <x:v>0</x:v>
      </x:c>
      <x:c r="H85" s="11" t="n">
        <x:v>0</x:v>
      </x:c>
      <x:c r="I85" s="11" t="str"/>
      <x:c r="J85" s="6" t="str"/>
    </x:row>
    <x:row r="86" ht="15.75">
      <x:c r="A86" s="7" t="n">
        <x:v>84</x:v>
      </x:c>
      <x:c r="B86" s="7" t="str">
        <x:v>白月珩</x:v>
      </x:c>
      <x:c r="C86" s="7" t="str">
        <x:v>数学类2604班</x:v>
      </x:c>
      <x:c r="D86" s="7" t="str">
        <x:v>202610027</x:v>
      </x:c>
      <x:c r="E86" s="24" t="n">
        <x:f>MAX(0,1-F86)</x:f>
        <x:v>1</x:v>
      </x:c>
      <x:c r="F86" s="25" t="n">
        <x:f>MIN(1,(G86+H86)/1)</x:f>
        <x:v>0</x:v>
      </x:c>
      <x:c r="G86" s="11" t="n">
        <x:v>0</x:v>
      </x:c>
      <x:c r="H86" s="11" t="n">
        <x:v>0</x:v>
      </x:c>
      <x:c r="I86" s="11" t="str"/>
      <x:c r="J86" s="6" t="str"/>
    </x:row>
    <x:row r="87" ht="15.75">
      <x:c r="A87" s="7" t="n">
        <x:v>85</x:v>
      </x:c>
      <x:c r="B87" s="7" t="str">
        <x:v>李培栋</x:v>
      </x:c>
      <x:c r="C87" s="7" t="str">
        <x:v>数学类2604班</x:v>
      </x:c>
      <x:c r="D87" s="7" t="str">
        <x:v>202610125</x:v>
      </x:c>
      <x:c r="E87" s="24" t="n">
        <x:f>MAX(0,1-F87)</x:f>
        <x:v>1</x:v>
      </x:c>
      <x:c r="F87" s="25" t="n">
        <x:f>MIN(1,(G87+H87)/1)</x:f>
        <x:v>0</x:v>
      </x:c>
      <x:c r="G87" s="11" t="n">
        <x:v>0</x:v>
      </x:c>
      <x:c r="H87" s="11" t="n">
        <x:v>0</x:v>
      </x:c>
      <x:c r="I87" s="11" t="str"/>
      <x:c r="J87" s="6" t="str"/>
    </x:row>
    <x:row r="88" ht="15.75">
      <x:c r="A88" s="7" t="n">
        <x:v>86</x:v>
      </x:c>
      <x:c r="B88" s="7" t="str">
        <x:v>邢康博</x:v>
      </x:c>
      <x:c r="C88" s="7" t="str">
        <x:v>数学类2604班</x:v>
      </x:c>
      <x:c r="D88" s="7" t="str">
        <x:v>202610322</x:v>
      </x:c>
      <x:c r="E88" s="24" t="n">
        <x:f>MAX(0,1-F88)</x:f>
        <x:v>1</x:v>
      </x:c>
      <x:c r="F88" s="25" t="n">
        <x:f>MIN(1,(G88+H88)/1)</x:f>
        <x:v>0</x:v>
      </x:c>
      <x:c r="G88" s="11" t="n">
        <x:v>0</x:v>
      </x:c>
      <x:c r="H88" s="11" t="n">
        <x:v>0</x:v>
      </x:c>
      <x:c r="I88" s="11" t="str"/>
      <x:c r="J88" s="6" t="str"/>
    </x:row>
    <x:row r="89" ht="15.75">
      <x:c r="A89" s="7" t="n">
        <x:v>87</x:v>
      </x:c>
      <x:c r="B89" s="7" t="str">
        <x:v>邢梦琦</x:v>
      </x:c>
      <x:c r="C89" s="7" t="str">
        <x:v>数学类2604班</x:v>
      </x:c>
      <x:c r="D89" s="7" t="str">
        <x:v>202610491</x:v>
      </x:c>
      <x:c r="E89" s="24" t="n">
        <x:f>MAX(0,1-F89)</x:f>
        <x:v>1</x:v>
      </x:c>
      <x:c r="F89" s="25" t="n">
        <x:f>MIN(1,(G89+H89)/1)</x:f>
        <x:v>0</x:v>
      </x:c>
      <x:c r="G89" s="11" t="n">
        <x:v>0</x:v>
      </x:c>
      <x:c r="H89" s="11" t="n">
        <x:v>0</x:v>
      </x:c>
      <x:c r="I89" s="11" t="str"/>
      <x:c r="J89" s="6" t="str"/>
    </x:row>
    <x:row r="90" ht="15.75">
      <x:c r="A90" s="7" t="n">
        <x:v>88</x:v>
      </x:c>
      <x:c r="B90" s="7" t="str">
        <x:v>冯亦飞</x:v>
      </x:c>
      <x:c r="C90" s="7" t="str">
        <x:v>数学类2604班</x:v>
      </x:c>
      <x:c r="D90" s="7" t="str">
        <x:v>202610537</x:v>
      </x:c>
      <x:c r="E90" s="24" t="n">
        <x:f>MAX(0,1-F90)</x:f>
        <x:v>1</x:v>
      </x:c>
      <x:c r="F90" s="25" t="n">
        <x:f>MIN(1,(G90+H90)/1)</x:f>
        <x:v>0</x:v>
      </x:c>
      <x:c r="G90" s="11" t="n">
        <x:v>0</x:v>
      </x:c>
      <x:c r="H90" s="11" t="n">
        <x:v>0</x:v>
      </x:c>
      <x:c r="I90" s="12" t="str"/>
      <x:c r="J90" s="13" t="str"/>
    </x:row>
    <x:row r="91" ht="15.75">
      <x:c r="A91" s="7" t="n">
        <x:v>89</x:v>
      </x:c>
      <x:c r="B91" s="7" t="str">
        <x:v>赵颢</x:v>
      </x:c>
      <x:c r="C91" s="7" t="str">
        <x:v>数学类2604班</x:v>
      </x:c>
      <x:c r="D91" s="7" t="str">
        <x:v>202610564</x:v>
      </x:c>
      <x:c r="E91" s="24" t="n">
        <x:f>MAX(0,1-F91)</x:f>
        <x:v>1</x:v>
      </x:c>
      <x:c r="F91" s="25" t="n">
        <x:f>MIN(1,(G91+H91)/1)</x:f>
        <x:v>0</x:v>
      </x:c>
      <x:c r="G91" s="11" t="n">
        <x:v>0</x:v>
      </x:c>
      <x:c r="H91" s="11" t="n">
        <x:v>0</x:v>
      </x:c>
      <x:c r="I91" s="11" t="str"/>
      <x:c r="J91" s="6" t="str"/>
    </x:row>
    <x:row r="92" ht="15.75">
      <x:c r="A92" s="7" t="n">
        <x:v>90</x:v>
      </x:c>
      <x:c r="B92" s="7" t="str">
        <x:v>张云赫</x:v>
      </x:c>
      <x:c r="C92" s="7" t="str">
        <x:v>数学类2604班</x:v>
      </x:c>
      <x:c r="D92" s="7" t="str">
        <x:v>202610607</x:v>
      </x:c>
      <x:c r="E92" s="24" t="n">
        <x:f>MAX(0,1-F92)</x:f>
        <x:v>1</x:v>
      </x:c>
      <x:c r="F92" s="25" t="n">
        <x:f>MIN(1,(G92+H92)/1)</x:f>
        <x:v>0</x:v>
      </x:c>
      <x:c r="G92" s="11" t="n">
        <x:v>0</x:v>
      </x:c>
      <x:c r="H92" s="11" t="n">
        <x:v>0</x:v>
      </x:c>
      <x:c r="I92" s="11" t="str"/>
      <x:c r="J92" s="6" t="str"/>
    </x:row>
    <x:row r="93" ht="15.75">
      <x:c r="A93" s="7" t="n">
        <x:v>91</x:v>
      </x:c>
      <x:c r="B93" s="7" t="str">
        <x:v>史策</x:v>
      </x:c>
      <x:c r="C93" s="7" t="str">
        <x:v>数学类2604班</x:v>
      </x:c>
      <x:c r="D93" s="7" t="str">
        <x:v>202610669</x:v>
      </x:c>
      <x:c r="E93" s="24" t="n">
        <x:f>MAX(0,1-F93)</x:f>
        <x:v>1</x:v>
      </x:c>
      <x:c r="F93" s="25" t="n">
        <x:f>MIN(1,(G93+H93)/1)</x:f>
        <x:v>0</x:v>
      </x:c>
      <x:c r="G93" s="11" t="n">
        <x:v>0</x:v>
      </x:c>
      <x:c r="H93" s="11" t="n">
        <x:v>0</x:v>
      </x:c>
      <x:c r="I93" s="15" t="str"/>
      <x:c r="J93" s="6" t="str"/>
    </x:row>
    <x:row r="94" ht="15.75">
      <x:c r="A94" s="7" t="n">
        <x:v>92</x:v>
      </x:c>
      <x:c r="B94" s="7" t="str">
        <x:v>李奥</x:v>
      </x:c>
      <x:c r="C94" s="7" t="str">
        <x:v>数学类2604班</x:v>
      </x:c>
      <x:c r="D94" s="7" t="str">
        <x:v>202610845</x:v>
      </x:c>
      <x:c r="E94" s="24" t="n">
        <x:f>MAX(0,1-F94)</x:f>
        <x:v>1</x:v>
      </x:c>
      <x:c r="F94" s="25" t="n">
        <x:f>MIN(1,(G94+H94)/1)</x:f>
        <x:v>0</x:v>
      </x:c>
      <x:c r="G94" s="11" t="n">
        <x:v>0</x:v>
      </x:c>
      <x:c r="H94" s="11" t="n">
        <x:v>0</x:v>
      </x:c>
      <x:c r="I94" s="11" t="str"/>
      <x:c r="J94" s="6" t="str"/>
    </x:row>
    <x:row r="95" ht="15.75">
      <x:c r="A95" s="7" t="n">
        <x:v>93</x:v>
      </x:c>
      <x:c r="B95" s="7" t="str">
        <x:v>姜驰</x:v>
      </x:c>
      <x:c r="C95" s="7" t="str">
        <x:v>数学类2604班</x:v>
      </x:c>
      <x:c r="D95" s="7" t="str">
        <x:v>202611015</x:v>
      </x:c>
      <x:c r="E95" s="24" t="n">
        <x:f>MAX(0,1-F95)</x:f>
        <x:v>1</x:v>
      </x:c>
      <x:c r="F95" s="25" t="n">
        <x:f>MIN(1,(G95+H95)/1)</x:f>
        <x:v>0</x:v>
      </x:c>
      <x:c r="G95" s="11" t="n">
        <x:v>0</x:v>
      </x:c>
      <x:c r="H95" s="11" t="n">
        <x:v>0</x:v>
      </x:c>
      <x:c r="I95" s="11" t="str"/>
      <x:c r="J95" s="6" t="str"/>
    </x:row>
    <x:row r="96" ht="15.75">
      <x:c r="A96" s="7" t="n">
        <x:v>94</x:v>
      </x:c>
      <x:c r="B96" s="7" t="str">
        <x:v>余锴</x:v>
      </x:c>
      <x:c r="C96" s="7" t="str">
        <x:v>数学类2604班</x:v>
      </x:c>
      <x:c r="D96" s="7" t="str">
        <x:v>202611086</x:v>
      </x:c>
      <x:c r="E96" s="24" t="n">
        <x:f>MAX(0,1-F96)</x:f>
        <x:v>1</x:v>
      </x:c>
      <x:c r="F96" s="25" t="n">
        <x:f>MIN(1,(G96+H96)/1)</x:f>
        <x:v>0</x:v>
      </x:c>
      <x:c r="G96" s="11" t="n">
        <x:v>0</x:v>
      </x:c>
      <x:c r="H96" s="11" t="n">
        <x:v>0</x:v>
      </x:c>
      <x:c r="I96" s="11" t="str"/>
      <x:c r="J96" s="6" t="str"/>
    </x:row>
    <x:row r="97" ht="15.75">
      <x:c r="A97" s="7" t="n">
        <x:v>95</x:v>
      </x:c>
      <x:c r="B97" s="7" t="str">
        <x:v>谭朔</x:v>
      </x:c>
      <x:c r="C97" s="7" t="str">
        <x:v>数学类2604班</x:v>
      </x:c>
      <x:c r="D97" s="7" t="str">
        <x:v>202611166</x:v>
      </x:c>
      <x:c r="E97" s="24" t="n">
        <x:f>MAX(0,1-F97)</x:f>
        <x:v>1</x:v>
      </x:c>
      <x:c r="F97" s="25" t="n">
        <x:f>MIN(1,(G97+H97)/1)</x:f>
        <x:v>0</x:v>
      </x:c>
      <x:c r="G97" s="11" t="n">
        <x:v>0</x:v>
      </x:c>
      <x:c r="H97" s="11" t="n">
        <x:v>0</x:v>
      </x:c>
      <x:c r="I97" s="11" t="str"/>
      <x:c r="J97" s="6" t="str"/>
    </x:row>
    <x:row r="98" ht="15.75">
      <x:c r="A98" s="7" t="n">
        <x:v>96</x:v>
      </x:c>
      <x:c r="B98" s="7" t="str">
        <x:v>张弛</x:v>
      </x:c>
      <x:c r="C98" s="7" t="str">
        <x:v>数学类2604班</x:v>
      </x:c>
      <x:c r="D98" s="7" t="str">
        <x:v>202611259</x:v>
      </x:c>
      <x:c r="E98" s="24" t="n">
        <x:f>MAX(0,1-F98)</x:f>
        <x:v>1</x:v>
      </x:c>
      <x:c r="F98" s="25" t="n">
        <x:f>MIN(1,(G98+H98)/1)</x:f>
        <x:v>0</x:v>
      </x:c>
      <x:c r="G98" s="11" t="n">
        <x:v>0</x:v>
      </x:c>
      <x:c r="H98" s="11" t="n">
        <x:v>0</x:v>
      </x:c>
      <x:c r="I98" s="11" t="str"/>
      <x:c r="J98" s="6" t="str"/>
    </x:row>
    <x:row r="99" ht="15.75">
      <x:c r="A99" s="7" t="n">
        <x:v>97</x:v>
      </x:c>
      <x:c r="B99" s="7" t="str">
        <x:v>于金琰</x:v>
      </x:c>
      <x:c r="C99" s="7" t="str">
        <x:v>数学类2604班</x:v>
      </x:c>
      <x:c r="D99" s="7" t="str">
        <x:v>202611290</x:v>
      </x:c>
      <x:c r="E99" s="24" t="n">
        <x:f>MAX(0,1-F99)</x:f>
        <x:v>1</x:v>
      </x:c>
      <x:c r="F99" s="25" t="n">
        <x:f>MIN(1,(G99+H99)/1)</x:f>
        <x:v>0</x:v>
      </x:c>
      <x:c r="G99" s="11" t="n">
        <x:v>0</x:v>
      </x:c>
      <x:c r="H99" s="11" t="n">
        <x:v>0</x:v>
      </x:c>
      <x:c r="I99" s="12" t="str"/>
      <x:c r="J99" s="6" t="str"/>
    </x:row>
    <x:row r="100" ht="15.75">
      <x:c r="A100" s="7" t="n">
        <x:v>98</x:v>
      </x:c>
      <x:c r="B100" s="7" t="str">
        <x:v>王子昂</x:v>
      </x:c>
      <x:c r="C100" s="7" t="str">
        <x:v>数学类2604班</x:v>
      </x:c>
      <x:c r="D100" s="7" t="str">
        <x:v>202611554</x:v>
      </x:c>
      <x:c r="E100" s="24" t="n">
        <x:f>MAX(0,1-F100)</x:f>
        <x:v>1</x:v>
      </x:c>
      <x:c r="F100" s="25" t="n">
        <x:f>MIN(1,(G100+H100)/1)</x:f>
        <x:v>0</x:v>
      </x:c>
      <x:c r="G100" s="11" t="n">
        <x:v>0</x:v>
      </x:c>
      <x:c r="H100" s="11" t="n">
        <x:v>0</x:v>
      </x:c>
      <x:c r="I100" s="12" t="str"/>
      <x:c r="J100" s="6" t="str"/>
    </x:row>
    <x:row r="101" ht="15.75">
      <x:c r="A101" s="7" t="n">
        <x:v>99</x:v>
      </x:c>
      <x:c r="B101" s="7" t="str">
        <x:v>谭万榕</x:v>
      </x:c>
      <x:c r="C101" s="7" t="str">
        <x:v>数学类2604班</x:v>
      </x:c>
      <x:c r="D101" s="7" t="str">
        <x:v>202611738</x:v>
      </x:c>
      <x:c r="E101" s="24" t="n">
        <x:f>MAX(0,1-F101)</x:f>
        <x:v>1</x:v>
      </x:c>
      <x:c r="F101" s="25" t="n">
        <x:f>MIN(1,(G101+H101)/1)</x:f>
        <x:v>0</x:v>
      </x:c>
      <x:c r="G101" s="11" t="n">
        <x:v>0</x:v>
      </x:c>
      <x:c r="H101" s="11" t="n">
        <x:v>0</x:v>
      </x:c>
      <x:c r="I101" s="11" t="str"/>
      <x:c r="J101" s="6" t="str"/>
    </x:row>
    <x:row r="102" ht="15.75">
      <x:c r="A102" s="7" t="n">
        <x:v>100</x:v>
      </x:c>
      <x:c r="B102" s="7" t="str">
        <x:v>黄振宇</x:v>
      </x:c>
      <x:c r="C102" s="7" t="str">
        <x:v>数学类2604班</x:v>
      </x:c>
      <x:c r="D102" s="7" t="str">
        <x:v>202611983</x:v>
      </x:c>
      <x:c r="E102" s="24" t="n">
        <x:f>MAX(0,1-F102)</x:f>
        <x:v>1</x:v>
      </x:c>
      <x:c r="F102" s="25" t="n">
        <x:f>MIN(1,(G102+H102)/1)</x:f>
        <x:v>0</x:v>
      </x:c>
      <x:c r="G102" s="11" t="n">
        <x:v>0</x:v>
      </x:c>
      <x:c r="H102" s="11" t="n">
        <x:v>0</x:v>
      </x:c>
      <x:c r="I102" s="11" t="str"/>
      <x:c r="J102" s="6" t="str"/>
    </x:row>
    <x:row r="103" ht="15.75">
      <x:c r="A103" s="7" t="n">
        <x:v>101</x:v>
      </x:c>
      <x:c r="B103" s="7" t="str">
        <x:v>安柳柳</x:v>
      </x:c>
      <x:c r="C103" s="7" t="str">
        <x:v>数学类2604班</x:v>
      </x:c>
      <x:c r="D103" s="7" t="str">
        <x:v>202612115</x:v>
      </x:c>
      <x:c r="E103" s="24" t="n">
        <x:f>MAX(0,1-F103)</x:f>
        <x:v>1</x:v>
      </x:c>
      <x:c r="F103" s="25" t="n">
        <x:f>MIN(1,(G103+H103)/1)</x:f>
        <x:v>0</x:v>
      </x:c>
      <x:c r="G103" s="11" t="n">
        <x:v>0</x:v>
      </x:c>
      <x:c r="H103" s="11" t="n">
        <x:v>0</x:v>
      </x:c>
      <x:c r="I103" s="11" t="str"/>
      <x:c r="J103" s="6" t="str"/>
    </x:row>
    <x:row r="104" ht="15.75">
      <x:c r="A104" s="7" t="n">
        <x:v>102</x:v>
      </x:c>
      <x:c r="B104" s="7" t="str">
        <x:v>刘嘉笑</x:v>
      </x:c>
      <x:c r="C104" s="7" t="str">
        <x:v>数学类2604班</x:v>
      </x:c>
      <x:c r="D104" s="7" t="str">
        <x:v>202612121</x:v>
      </x:c>
      <x:c r="E104" s="24" t="n">
        <x:f>MAX(0,1-F104)</x:f>
        <x:v>1</x:v>
      </x:c>
      <x:c r="F104" s="25" t="n">
        <x:f>MIN(1,(G104+H104)/1)</x:f>
        <x:v>0</x:v>
      </x:c>
      <x:c r="G104" s="11" t="n">
        <x:v>0</x:v>
      </x:c>
      <x:c r="H104" s="11" t="n">
        <x:v>0</x:v>
      </x:c>
      <x:c r="I104" s="11" t="str"/>
      <x:c r="J104" s="6" t="str"/>
    </x:row>
    <x:row r="105" ht="15.75">
      <x:c r="A105" s="7" t="n">
        <x:v>103</x:v>
      </x:c>
      <x:c r="B105" s="7" t="str">
        <x:v>李欣蒙</x:v>
      </x:c>
      <x:c r="C105" s="7" t="str">
        <x:v>数学类2604班</x:v>
      </x:c>
      <x:c r="D105" s="7" t="str">
        <x:v>202612293</x:v>
      </x:c>
      <x:c r="E105" s="24" t="n">
        <x:f>MAX(0,1-F105)</x:f>
        <x:v>1</x:v>
      </x:c>
      <x:c r="F105" s="25" t="n">
        <x:f>MIN(1,(G105+H105)/1)</x:f>
        <x:v>0</x:v>
      </x:c>
      <x:c r="G105" s="11" t="n">
        <x:v>0</x:v>
      </x:c>
      <x:c r="H105" s="11" t="n">
        <x:v>0</x:v>
      </x:c>
      <x:c r="I105" s="11" t="str"/>
      <x:c r="J105" s="6" t="str"/>
    </x:row>
    <x:row r="106" ht="15.75">
      <x:c r="A106" s="7" t="n">
        <x:v>104</x:v>
      </x:c>
      <x:c r="B106" s="7" t="str">
        <x:v>肖淇文</x:v>
      </x:c>
      <x:c r="C106" s="7" t="str">
        <x:v>数学类2604班</x:v>
      </x:c>
      <x:c r="D106" s="7" t="str">
        <x:v>202612384</x:v>
      </x:c>
      <x:c r="E106" s="24" t="n">
        <x:f>MAX(0,1-F106)</x:f>
        <x:v>1</x:v>
      </x:c>
      <x:c r="F106" s="25" t="n">
        <x:f>MIN(1,(G106+H106)/1)</x:f>
        <x:v>0</x:v>
      </x:c>
      <x:c r="G106" s="11" t="n">
        <x:v>0</x:v>
      </x:c>
      <x:c r="H106" s="11" t="n">
        <x:v>0</x:v>
      </x:c>
      <x:c r="I106" s="12" t="str"/>
      <x:c r="J106" s="6" t="str"/>
    </x:row>
    <x:row r="107" ht="15.75">
      <x:c r="A107" s="7" t="n">
        <x:v>105</x:v>
      </x:c>
      <x:c r="B107" s="7" t="str">
        <x:v>林才杨</x:v>
      </x:c>
      <x:c r="C107" s="7" t="str">
        <x:v>数学类2604班</x:v>
      </x:c>
      <x:c r="D107" s="7" t="str">
        <x:v>202612413</x:v>
      </x:c>
      <x:c r="E107" s="24" t="n">
        <x:f>MAX(0,1-F107)</x:f>
        <x:v>1</x:v>
      </x:c>
      <x:c r="F107" s="25" t="n">
        <x:f>MIN(1,(G107+H107)/1)</x:f>
        <x:v>0</x:v>
      </x:c>
      <x:c r="G107" s="11" t="n">
        <x:v>0</x:v>
      </x:c>
      <x:c r="H107" s="11" t="n">
        <x:v>0</x:v>
      </x:c>
      <x:c r="I107" s="12" t="str"/>
      <x:c r="J107" s="6" t="str"/>
    </x:row>
    <x:row r="108" ht="15.75">
      <x:c r="A108" s="7" t="n">
        <x:v>106</x:v>
      </x:c>
      <x:c r="B108" s="7" t="str">
        <x:v>杨晨溪</x:v>
      </x:c>
      <x:c r="C108" s="7" t="str">
        <x:v>数学类2604班</x:v>
      </x:c>
      <x:c r="D108" s="7" t="str">
        <x:v>202612494</x:v>
      </x:c>
      <x:c r="E108" s="24" t="n">
        <x:f>MAX(0,1-F108)</x:f>
        <x:v>1</x:v>
      </x:c>
      <x:c r="F108" s="25" t="n">
        <x:f>MIN(1,(G108+H108)/1)</x:f>
        <x:v>0</x:v>
      </x:c>
      <x:c r="G108" s="11" t="n">
        <x:v>0</x:v>
      </x:c>
      <x:c r="H108" s="11" t="n">
        <x:v>0</x:v>
      </x:c>
      <x:c r="I108" s="11" t="str"/>
      <x:c r="J108" s="6" t="str"/>
    </x:row>
    <x:row r="109" ht="15.75">
      <x:c r="A109" s="7" t="n">
        <x:v>107</x:v>
      </x:c>
      <x:c r="B109" s="7" t="str">
        <x:v>罗浩</x:v>
      </x:c>
      <x:c r="C109" s="7" t="str">
        <x:v>数学类2604班</x:v>
      </x:c>
      <x:c r="D109" s="7" t="str">
        <x:v>202612508</x:v>
      </x:c>
      <x:c r="E109" s="24" t="n">
        <x:f>MAX(0,1-F109)</x:f>
        <x:v>1</x:v>
      </x:c>
      <x:c r="F109" s="25" t="n">
        <x:f>MIN(1,(G109+H109)/1)</x:f>
        <x:v>0</x:v>
      </x:c>
      <x:c r="G109" s="11" t="n">
        <x:v>0</x:v>
      </x:c>
      <x:c r="H109" s="11" t="n">
        <x:v>0</x:v>
      </x:c>
      <x:c r="I109" s="11" t="str"/>
      <x:c r="J109" s="6" t="str"/>
    </x:row>
    <x:row r="110" ht="15.75">
      <x:c r="A110" s="7" t="n">
        <x:v>108</x:v>
      </x:c>
      <x:c r="B110" s="7" t="str">
        <x:v>庞洋</x:v>
      </x:c>
      <x:c r="C110" s="7" t="str">
        <x:v>数学类2604班</x:v>
      </x:c>
      <x:c r="D110" s="7" t="str">
        <x:v>202612764</x:v>
      </x:c>
      <x:c r="E110" s="24" t="n">
        <x:f>MAX(0,1-F110)</x:f>
        <x:v>1</x:v>
      </x:c>
      <x:c r="F110" s="25" t="n">
        <x:f>MIN(1,(G110+H110)/1)</x:f>
        <x:v>0</x:v>
      </x:c>
      <x:c r="G110" s="11" t="n">
        <x:v>0</x:v>
      </x:c>
      <x:c r="H110" s="11" t="n">
        <x:v>0</x:v>
      </x:c>
      <x:c r="I110" s="11" t="str"/>
      <x:c r="J110" s="6" t="str"/>
    </x:row>
    <x:row r="111" ht="15.75">
      <x:c r="A111" s="7" t="n">
        <x:v>109</x:v>
      </x:c>
      <x:c r="B111" s="7" t="str">
        <x:v>范永旭</x:v>
      </x:c>
      <x:c r="C111" s="7" t="str">
        <x:v>数学类2604班</x:v>
      </x:c>
      <x:c r="D111" s="7" t="str">
        <x:v>202612814</x:v>
      </x:c>
      <x:c r="E111" s="24" t="n">
        <x:f>MAX(0,1-F111)</x:f>
        <x:v>1</x:v>
      </x:c>
      <x:c r="F111" s="25" t="n">
        <x:f>MIN(1,(G111+H111)/1)</x:f>
        <x:v>0</x:v>
      </x:c>
      <x:c r="G111" s="11" t="n">
        <x:v>0</x:v>
      </x:c>
      <x:c r="H111" s="11" t="n">
        <x:v>0</x:v>
      </x:c>
      <x:c r="I111" s="11" t="str"/>
      <x:c r="J111" s="6" t="str"/>
    </x:row>
    <x:row r="112" ht="15.75">
      <x:c r="A112" s="7" t="n">
        <x:v>110</x:v>
      </x:c>
      <x:c r="B112" s="7" t="str">
        <x:v>查欢芬</x:v>
      </x:c>
      <x:c r="C112" s="7" t="str">
        <x:v>数学类2604班</x:v>
      </x:c>
      <x:c r="D112" s="7" t="str">
        <x:v>202612876</x:v>
      </x:c>
      <x:c r="E112" s="24" t="n">
        <x:f>MAX(0,1-F112)</x:f>
        <x:v>1</x:v>
      </x:c>
      <x:c r="F112" s="25" t="n">
        <x:f>MIN(1,(G112+H112)/1)</x:f>
        <x:v>0</x:v>
      </x:c>
      <x:c r="G112" s="11" t="n">
        <x:v>0</x:v>
      </x:c>
      <x:c r="H112" s="11" t="n">
        <x:v>0</x:v>
      </x:c>
      <x:c r="I112" s="11" t="str"/>
      <x:c r="J112" s="6" t="str"/>
    </x:row>
    <x:row r="113" ht="15.75">
      <x:c r="A113" s="7" t="n">
        <x:v>111</x:v>
      </x:c>
      <x:c r="B113" s="16" t="str">
        <x:v>甘峻溪</x:v>
      </x:c>
      <x:c r="C113" s="7" t="str">
        <x:v>数学类2604班</x:v>
      </x:c>
      <x:c r="D113" s="7" t="str">
        <x:v>202613048</x:v>
      </x:c>
      <x:c r="E113" s="24" t="n">
        <x:f>MAX(0,1-F113)</x:f>
        <x:v>1</x:v>
      </x:c>
      <x:c r="F113" s="25" t="n">
        <x:f>MIN(1,(G113+H113)/1)</x:f>
        <x:v>0</x:v>
      </x:c>
      <x:c r="G113" s="11" t="n">
        <x:v>0</x:v>
      </x:c>
      <x:c r="H113" s="11" t="n">
        <x:v>0</x:v>
      </x:c>
      <x:c r="I113" s="12" t="str"/>
      <x:c r="J113" s="6" t="str"/>
    </x:row>
    <x:row r="114" ht="40.5">
      <x:c r="A114" s="7" t="n">
        <x:v>112</x:v>
      </x:c>
      <x:c r="B114" s="16" t="str">
        <x:v>袁野</x:v>
      </x:c>
      <x:c r="C114" s="7" t="str">
        <x:v>数学类2604班</x:v>
      </x:c>
      <x:c r="D114" s="7" t="str">
        <x:v>202613172</x:v>
      </x:c>
      <x:c r="E114" s="24" t="n">
        <x:f>MAX(0,1-F114)</x:f>
        <x:v>1</x:v>
      </x:c>
      <x:c r="F114" s="25" t="n">
        <x:f>MIN(1,(G114+H114)/1)</x:f>
        <x:v>0</x:v>
      </x:c>
      <x:c r="G114" s="11" t="n">
        <x:v>0</x:v>
      </x:c>
      <x:c r="H114" s="11" t="n">
        <x:v>0</x:v>
      </x:c>
      <x:c r="I114" s="18" t="str"/>
      <x:c r="J114" s="13" t="str"/>
    </x:row>
    <x:row r="115" ht="15.75">
      <x:c r="A115" s="7" t="n">
        <x:v>113</x:v>
      </x:c>
      <x:c r="B115" s="16" t="str">
        <x:v>段元博</x:v>
      </x:c>
      <x:c r="C115" s="7" t="str">
        <x:v>数学与应用数学2601班</x:v>
      </x:c>
      <x:c r="D115" s="7" t="str">
        <x:v>202610086</x:v>
      </x:c>
      <x:c r="E115" s="24" t="n">
        <x:f>MAX(0,1-F115)</x:f>
        <x:v>1</x:v>
      </x:c>
      <x:c r="F115" s="25" t="n">
        <x:f>MIN(1,(G115+H115)/1)</x:f>
        <x:v>0</x:v>
      </x:c>
      <x:c r="G115" s="11" t="n">
        <x:v>0</x:v>
      </x:c>
      <x:c r="H115" s="11" t="n">
        <x:v>0</x:v>
      </x:c>
      <x:c r="I115" s="18" t="str"/>
      <x:c r="J115" s="6" t="str"/>
    </x:row>
    <x:row r="116" ht="15.75">
      <x:c r="A116" s="7" t="n">
        <x:v>114</x:v>
      </x:c>
      <x:c r="B116" s="16" t="str">
        <x:v>孟繁宇</x:v>
      </x:c>
      <x:c r="C116" s="7" t="str">
        <x:v>数学与应用数学2601班</x:v>
      </x:c>
      <x:c r="D116" s="7" t="str">
        <x:v>202610107</x:v>
      </x:c>
      <x:c r="E116" s="24" t="n">
        <x:f>MAX(0,1-F116)</x:f>
        <x:v>1</x:v>
      </x:c>
      <x:c r="F116" s="25" t="n">
        <x:f>MIN(1,(G116+H116)/1)</x:f>
        <x:v>0</x:v>
      </x:c>
      <x:c r="G116" s="11" t="n">
        <x:v>0</x:v>
      </x:c>
      <x:c r="H116" s="11" t="n">
        <x:v>0</x:v>
      </x:c>
      <x:c r="I116" s="11" t="str"/>
      <x:c r="J116" s="6" t="str"/>
    </x:row>
    <x:row r="117" ht="15.75">
      <x:c r="A117" s="7" t="n">
        <x:v>115</x:v>
      </x:c>
      <x:c r="B117" s="16" t="str">
        <x:v>于思源</x:v>
      </x:c>
      <x:c r="C117" s="7" t="str">
        <x:v>数学与应用数学2601班</x:v>
      </x:c>
      <x:c r="D117" s="7" t="str">
        <x:v>202610188</x:v>
      </x:c>
      <x:c r="E117" s="24" t="n">
        <x:f>MAX(0,1-F117)</x:f>
        <x:v>1</x:v>
      </x:c>
      <x:c r="F117" s="25" t="n">
        <x:f>MIN(1,(G117+H117)/1)</x:f>
        <x:v>0</x:v>
      </x:c>
      <x:c r="G117" s="11" t="n">
        <x:v>0</x:v>
      </x:c>
      <x:c r="H117" s="11" t="n">
        <x:v>0</x:v>
      </x:c>
      <x:c r="I117" s="15" t="str"/>
      <x:c r="J117" s="6" t="str"/>
    </x:row>
    <x:row r="118" ht="15.75">
      <x:c r="A118" s="7" t="n">
        <x:v>116</x:v>
      </x:c>
      <x:c r="B118" s="16" t="str">
        <x:v>李若瑄</x:v>
      </x:c>
      <x:c r="C118" s="7" t="str">
        <x:v>数学与应用数学2601班</x:v>
      </x:c>
      <x:c r="D118" s="7" t="str">
        <x:v>202610350</x:v>
      </x:c>
      <x:c r="E118" s="24" t="n">
        <x:f>MAX(0,1-F118)</x:f>
        <x:v>1</x:v>
      </x:c>
      <x:c r="F118" s="25" t="n">
        <x:f>MIN(1,(G118+H118)/1)</x:f>
        <x:v>0</x:v>
      </x:c>
      <x:c r="G118" s="11" t="n">
        <x:v>0</x:v>
      </x:c>
      <x:c r="H118" s="11" t="n">
        <x:v>0</x:v>
      </x:c>
      <x:c r="I118" s="11" t="str"/>
      <x:c r="J118" s="6" t="str"/>
    </x:row>
    <x:row r="119" ht="27">
      <x:c r="A119" s="7" t="n">
        <x:v>117</x:v>
      </x:c>
      <x:c r="B119" s="16" t="str">
        <x:v>曾硕</x:v>
      </x:c>
      <x:c r="C119" s="7" t="str">
        <x:v>数学与应用数学2601班</x:v>
      </x:c>
      <x:c r="D119" s="7" t="str">
        <x:v>202610355</x:v>
      </x:c>
      <x:c r="E119" s="24" t="n">
        <x:f>MAX(0,1-F119)</x:f>
        <x:v>1</x:v>
      </x:c>
      <x:c r="F119" s="25" t="n">
        <x:f>MIN(1,(G119+H119)/1)</x:f>
        <x:v>0</x:v>
      </x:c>
      <x:c r="G119" s="11" t="n">
        <x:v>0</x:v>
      </x:c>
      <x:c r="H119" s="11" t="n">
        <x:v>0</x:v>
      </x:c>
      <x:c r="I119" s="18" t="str"/>
      <x:c r="J119" s="13" t="str"/>
    </x:row>
    <x:row r="120" ht="15.75">
      <x:c r="A120" s="7" t="n">
        <x:v>118</x:v>
      </x:c>
      <x:c r="B120" s="16" t="str">
        <x:v>朱昱霖</x:v>
      </x:c>
      <x:c r="C120" s="7" t="str">
        <x:v>数学与应用数学2601班</x:v>
      </x:c>
      <x:c r="D120" s="7" t="str">
        <x:v>202610489</x:v>
      </x:c>
      <x:c r="E120" s="24" t="n">
        <x:f>MAX(0,1-F120)</x:f>
        <x:v>1</x:v>
      </x:c>
      <x:c r="F120" s="25" t="n">
        <x:f>MIN(1,(G120+H120)/1)</x:f>
        <x:v>0</x:v>
      </x:c>
      <x:c r="G120" s="11" t="n">
        <x:v>0</x:v>
      </x:c>
      <x:c r="H120" s="11" t="n">
        <x:v>0</x:v>
      </x:c>
      <x:c r="I120" s="11" t="str"/>
      <x:c r="J120" s="6" t="str"/>
    </x:row>
    <x:row r="121" ht="27">
      <x:c r="A121" s="7" t="n">
        <x:v>119</x:v>
      </x:c>
      <x:c r="B121" s="16" t="str">
        <x:v>康文煊</x:v>
      </x:c>
      <x:c r="C121" s="7" t="str">
        <x:v>数学与应用数学2601班</x:v>
      </x:c>
      <x:c r="D121" s="7" t="str">
        <x:v>202610666</x:v>
      </x:c>
      <x:c r="E121" s="24" t="n">
        <x:f>MAX(0,1-F121)</x:f>
        <x:v>1</x:v>
      </x:c>
      <x:c r="F121" s="25" t="n">
        <x:f>MIN(1,(G121+H121)/1)</x:f>
        <x:v>0</x:v>
      </x:c>
      <x:c r="G121" s="11" t="n">
        <x:v>0</x:v>
      </x:c>
      <x:c r="H121" s="11" t="n">
        <x:v>0</x:v>
      </x:c>
      <x:c r="I121" s="18" t="str"/>
      <x:c r="J121" s="20" t="str"/>
    </x:row>
    <x:row r="122" ht="15.75">
      <x:c r="A122" s="7" t="n">
        <x:v>120</x:v>
      </x:c>
      <x:c r="B122" s="16" t="str">
        <x:v>李源朝</x:v>
      </x:c>
      <x:c r="C122" s="7" t="str">
        <x:v>数学与应用数学2601班</x:v>
      </x:c>
      <x:c r="D122" s="7" t="str">
        <x:v>202610747</x:v>
      </x:c>
      <x:c r="E122" s="24" t="n">
        <x:f>MAX(0,1-F122)</x:f>
        <x:v>1</x:v>
      </x:c>
      <x:c r="F122" s="25" t="n">
        <x:f>MIN(1,(G122+H122)/1)</x:f>
        <x:v>0</x:v>
      </x:c>
      <x:c r="G122" s="11" t="n">
        <x:v>0</x:v>
      </x:c>
      <x:c r="H122" s="11" t="n">
        <x:v>0</x:v>
      </x:c>
      <x:c r="I122" s="11" t="str"/>
      <x:c r="J122" s="6" t="str"/>
    </x:row>
    <x:row r="123" ht="15.75">
      <x:c r="A123" s="7" t="n">
        <x:v>121</x:v>
      </x:c>
      <x:c r="B123" s="16" t="str">
        <x:v>李嘉仪</x:v>
      </x:c>
      <x:c r="C123" s="7" t="str">
        <x:v>数学与应用数学2601班</x:v>
      </x:c>
      <x:c r="D123" s="7" t="str">
        <x:v>202610764</x:v>
      </x:c>
      <x:c r="E123" s="24" t="n">
        <x:f>MAX(0,1-F123)</x:f>
        <x:v>1</x:v>
      </x:c>
      <x:c r="F123" s="25" t="n">
        <x:f>MIN(1,(G123+H123)/1)</x:f>
        <x:v>0</x:v>
      </x:c>
      <x:c r="G123" s="11" t="n">
        <x:v>0</x:v>
      </x:c>
      <x:c r="H123" s="11" t="n">
        <x:v>0</x:v>
      </x:c>
      <x:c r="I123" s="18" t="str"/>
      <x:c r="J123" s="6" t="str"/>
    </x:row>
    <x:row r="124" ht="15.75">
      <x:c r="A124" s="7" t="n">
        <x:v>122</x:v>
      </x:c>
      <x:c r="B124" s="16" t="str">
        <x:v>缪舒帆</x:v>
      </x:c>
      <x:c r="C124" s="7" t="str">
        <x:v>数学与应用数学2601班</x:v>
      </x:c>
      <x:c r="D124" s="7" t="str">
        <x:v>202610972</x:v>
      </x:c>
      <x:c r="E124" s="24" t="n">
        <x:f>MAX(0,1-F124)</x:f>
        <x:v>1</x:v>
      </x:c>
      <x:c r="F124" s="25" t="n">
        <x:f>MIN(1,(G124+H124)/1)</x:f>
        <x:v>0</x:v>
      </x:c>
      <x:c r="G124" s="11" t="n">
        <x:v>0</x:v>
      </x:c>
      <x:c r="H124" s="11" t="n">
        <x:v>0</x:v>
      </x:c>
      <x:c r="I124" s="11" t="str"/>
      <x:c r="J124" s="6" t="str"/>
    </x:row>
    <x:row r="125" ht="15.75">
      <x:c r="A125" s="7" t="n">
        <x:v>123</x:v>
      </x:c>
      <x:c r="B125" s="16" t="str">
        <x:v>金成领</x:v>
      </x:c>
      <x:c r="C125" s="7" t="str">
        <x:v>数学与应用数学2601班</x:v>
      </x:c>
      <x:c r="D125" s="7" t="str">
        <x:v>202610995</x:v>
      </x:c>
      <x:c r="E125" s="24" t="n">
        <x:f>MAX(0,1-F125)</x:f>
        <x:v>1</x:v>
      </x:c>
      <x:c r="F125" s="25" t="n">
        <x:f>MIN(1,(G125+H125)/1)</x:f>
        <x:v>0</x:v>
      </x:c>
      <x:c r="G125" s="11" t="n">
        <x:v>0</x:v>
      </x:c>
      <x:c r="H125" s="11" t="n">
        <x:v>0</x:v>
      </x:c>
      <x:c r="I125" s="11" t="str"/>
      <x:c r="J125" s="6" t="str"/>
    </x:row>
    <x:row r="126" ht="15.75">
      <x:c r="A126" s="7" t="n">
        <x:v>124</x:v>
      </x:c>
      <x:c r="B126" s="16" t="str">
        <x:v>彭祥源</x:v>
      </x:c>
      <x:c r="C126" s="7" t="str">
        <x:v>数学与应用数学2601班</x:v>
      </x:c>
      <x:c r="D126" s="7" t="str">
        <x:v>202611263</x:v>
      </x:c>
      <x:c r="E126" s="24" t="n">
        <x:f>MAX(0,1-F126)</x:f>
        <x:v>1</x:v>
      </x:c>
      <x:c r="F126" s="25" t="n">
        <x:f>MIN(1,(G126+H126)/1)</x:f>
        <x:v>0</x:v>
      </x:c>
      <x:c r="G126" s="11" t="n">
        <x:v>0</x:v>
      </x:c>
      <x:c r="H126" s="11" t="n">
        <x:v>0</x:v>
      </x:c>
      <x:c r="I126" s="11" t="str"/>
      <x:c r="J126" s="6" t="str"/>
    </x:row>
    <x:row r="127" ht="15.75">
      <x:c r="A127" s="7" t="n">
        <x:v>125</x:v>
      </x:c>
      <x:c r="B127" s="16" t="str">
        <x:v>盛舒柯</x:v>
      </x:c>
      <x:c r="C127" s="7" t="str">
        <x:v>数学与应用数学2601班</x:v>
      </x:c>
      <x:c r="D127" s="7" t="str">
        <x:v>202611312</x:v>
      </x:c>
      <x:c r="E127" s="24" t="n">
        <x:f>MAX(0,1-F127)</x:f>
        <x:v>1</x:v>
      </x:c>
      <x:c r="F127" s="25" t="n">
        <x:f>MIN(1,(G127+H127)/1)</x:f>
        <x:v>0</x:v>
      </x:c>
      <x:c r="G127" s="11" t="n">
        <x:v>0</x:v>
      </x:c>
      <x:c r="H127" s="11" t="n">
        <x:v>0</x:v>
      </x:c>
      <x:c r="I127" s="12" t="str"/>
      <x:c r="J127" s="6" t="str"/>
    </x:row>
    <x:row r="128" ht="15.75">
      <x:c r="A128" s="7" t="n">
        <x:v>126</x:v>
      </x:c>
      <x:c r="B128" s="7" t="str">
        <x:v>初泉锋</x:v>
      </x:c>
      <x:c r="C128" s="7" t="str">
        <x:v>数学与应用数学2601班</x:v>
      </x:c>
      <x:c r="D128" s="7" t="str">
        <x:v>202611379</x:v>
      </x:c>
      <x:c r="E128" s="24" t="n">
        <x:f>MAX(0,1-F128)</x:f>
        <x:v>1</x:v>
      </x:c>
      <x:c r="F128" s="25" t="n">
        <x:f>MIN(1,(G128+H128)/1)</x:f>
        <x:v>0</x:v>
      </x:c>
      <x:c r="G128" s="11" t="n">
        <x:v>0</x:v>
      </x:c>
      <x:c r="H128" s="11" t="n">
        <x:v>0</x:v>
      </x:c>
      <x:c r="I128" s="11" t="str"/>
      <x:c r="J128" s="6" t="str"/>
    </x:row>
    <x:row r="129" ht="27">
      <x:c r="A129" s="7" t="n">
        <x:v>127</x:v>
      </x:c>
      <x:c r="B129" s="7" t="str">
        <x:v>戚庚彬</x:v>
      </x:c>
      <x:c r="C129" s="7" t="str">
        <x:v>数学与应用数学2601班</x:v>
      </x:c>
      <x:c r="D129" s="7" t="str">
        <x:v>202611462</x:v>
      </x:c>
      <x:c r="E129" s="24" t="n">
        <x:f>MAX(0,1-F129)</x:f>
        <x:v>1</x:v>
      </x:c>
      <x:c r="F129" s="25" t="n">
        <x:f>MIN(1,(G129+H129)/1)</x:f>
        <x:v>0</x:v>
      </x:c>
      <x:c r="G129" s="11" t="n">
        <x:v>0</x:v>
      </x:c>
      <x:c r="H129" s="11" t="n">
        <x:v>0</x:v>
      </x:c>
      <x:c r="I129" s="18" t="str"/>
      <x:c r="J129" s="13" t="str"/>
    </x:row>
    <x:row r="130" ht="15.75">
      <x:c r="A130" s="7" t="n">
        <x:v>128</x:v>
      </x:c>
      <x:c r="B130" s="7" t="str">
        <x:v>张家郡</x:v>
      </x:c>
      <x:c r="C130" s="7" t="str">
        <x:v>数学与应用数学2601班</x:v>
      </x:c>
      <x:c r="D130" s="7" t="str">
        <x:v>202611469</x:v>
      </x:c>
      <x:c r="E130" s="24" t="n">
        <x:f>MAX(0,1-F130)</x:f>
        <x:v>1</x:v>
      </x:c>
      <x:c r="F130" s="25" t="n">
        <x:f>MIN(1,(G130+H130)/1)</x:f>
        <x:v>0</x:v>
      </x:c>
      <x:c r="G130" s="11" t="n">
        <x:v>0</x:v>
      </x:c>
      <x:c r="H130" s="11" t="n">
        <x:v>0</x:v>
      </x:c>
      <x:c r="I130" s="11" t="str"/>
      <x:c r="J130" s="6" t="str"/>
    </x:row>
    <x:row r="131" ht="15.75">
      <x:c r="A131" s="7" t="n">
        <x:v>129</x:v>
      </x:c>
      <x:c r="B131" s="7" t="str">
        <x:v>李昭奕</x:v>
      </x:c>
      <x:c r="C131" s="7" t="str">
        <x:v>数学与应用数学2601班</x:v>
      </x:c>
      <x:c r="D131" s="7" t="str">
        <x:v>202611571</x:v>
      </x:c>
      <x:c r="E131" s="24" t="n">
        <x:f>MAX(0,1-F131)</x:f>
        <x:v>1</x:v>
      </x:c>
      <x:c r="F131" s="25" t="n">
        <x:f>MIN(1,(G131+H131)/1)</x:f>
        <x:v>0</x:v>
      </x:c>
      <x:c r="G131" s="11" t="n">
        <x:v>0</x:v>
      </x:c>
      <x:c r="H131" s="11" t="n">
        <x:v>0</x:v>
      </x:c>
      <x:c r="I131" s="18" t="str"/>
      <x:c r="J131" s="13" t="str"/>
    </x:row>
    <x:row r="132" ht="15.75">
      <x:c r="A132" s="7" t="n">
        <x:v>130</x:v>
      </x:c>
      <x:c r="B132" s="7" t="str">
        <x:v>钱宇洋</x:v>
      </x:c>
      <x:c r="C132" s="7" t="str">
        <x:v>数学与应用数学2601班</x:v>
      </x:c>
      <x:c r="D132" s="7" t="str">
        <x:v>202611682</x:v>
      </x:c>
      <x:c r="E132" s="24" t="n">
        <x:f>MAX(0,1-F132)</x:f>
        <x:v>1</x:v>
      </x:c>
      <x:c r="F132" s="25" t="n">
        <x:f>MIN(1,(G132+H132)/1)</x:f>
        <x:v>0</x:v>
      </x:c>
      <x:c r="G132" s="11" t="n">
        <x:v>0</x:v>
      </x:c>
      <x:c r="H132" s="11" t="n">
        <x:v>0</x:v>
      </x:c>
      <x:c r="I132" s="11" t="str"/>
      <x:c r="J132" s="6" t="str"/>
    </x:row>
    <x:row r="133" ht="15.75">
      <x:c r="A133" s="7" t="n">
        <x:v>131</x:v>
      </x:c>
      <x:c r="B133" s="7" t="str">
        <x:v>周安和</x:v>
      </x:c>
      <x:c r="C133" s="7" t="str">
        <x:v>数学与应用数学2601班</x:v>
      </x:c>
      <x:c r="D133" s="7" t="str">
        <x:v>202611884</x:v>
      </x:c>
      <x:c r="E133" s="24" t="n">
        <x:f>MAX(0,1-F133)</x:f>
        <x:v>1</x:v>
      </x:c>
      <x:c r="F133" s="25" t="n">
        <x:f>MIN(1,(G133+H133)/1)</x:f>
        <x:v>0</x:v>
      </x:c>
      <x:c r="G133" s="11" t="n">
        <x:v>0</x:v>
      </x:c>
      <x:c r="H133" s="11" t="n">
        <x:v>0</x:v>
      </x:c>
      <x:c r="I133" s="12" t="str"/>
      <x:c r="J133" s="6" t="str"/>
    </x:row>
    <x:row r="134" ht="15.75">
      <x:c r="A134" s="7" t="n">
        <x:v>132</x:v>
      </x:c>
      <x:c r="B134" s="7" t="str">
        <x:v>黄益涵</x:v>
      </x:c>
      <x:c r="C134" s="7" t="str">
        <x:v>数学与应用数学2601班</x:v>
      </x:c>
      <x:c r="D134" s="7" t="str">
        <x:v>202612330</x:v>
      </x:c>
      <x:c r="E134" s="24" t="n">
        <x:f>MAX(0,1-F134)</x:f>
        <x:v>1</x:v>
      </x:c>
      <x:c r="F134" s="25" t="n">
        <x:f>MIN(1,(G134+H134)/1)</x:f>
        <x:v>0</x:v>
      </x:c>
      <x:c r="G134" s="11" t="n">
        <x:v>0</x:v>
      </x:c>
      <x:c r="H134" s="11" t="n">
        <x:v>0</x:v>
      </x:c>
      <x:c r="I134" s="11" t="str"/>
      <x:c r="J134" s="6" t="str"/>
    </x:row>
    <x:row r="135" ht="15.75">
      <x:c r="A135" s="7" t="n">
        <x:v>133</x:v>
      </x:c>
      <x:c r="B135" s="7" t="str">
        <x:v>强钰欣</x:v>
      </x:c>
      <x:c r="C135" s="7" t="str">
        <x:v>数学与应用数学2601班</x:v>
      </x:c>
      <x:c r="D135" s="7" t="str">
        <x:v>202612512</x:v>
      </x:c>
      <x:c r="E135" s="24" t="n">
        <x:f>MAX(0,1-F135)</x:f>
        <x:v>1</x:v>
      </x:c>
      <x:c r="F135" s="25" t="n">
        <x:f>MIN(1,(G135+H135)/1)</x:f>
        <x:v>0</x:v>
      </x:c>
      <x:c r="G135" s="11" t="n">
        <x:v>0</x:v>
      </x:c>
      <x:c r="H135" s="11" t="n">
        <x:v>0</x:v>
      </x:c>
      <x:c r="I135" s="11" t="str"/>
      <x:c r="J135" s="6" t="str"/>
    </x:row>
    <x:row r="136" ht="15.75">
      <x:c r="A136" s="7" t="n">
        <x:v>134</x:v>
      </x:c>
      <x:c r="B136" s="7" t="str">
        <x:v>李晓阳</x:v>
      </x:c>
      <x:c r="C136" s="7" t="str">
        <x:v>数学与应用数学2601班</x:v>
      </x:c>
      <x:c r="D136" s="7" t="str">
        <x:v>202612556</x:v>
      </x:c>
      <x:c r="E136" s="24" t="n">
        <x:f>MAX(0,1-F136)</x:f>
        <x:v>1</x:v>
      </x:c>
      <x:c r="F136" s="25" t="n">
        <x:f>MIN(1,(G136+H136)/1)</x:f>
        <x:v>0</x:v>
      </x:c>
      <x:c r="G136" s="11" t="n">
        <x:v>0</x:v>
      </x:c>
      <x:c r="H136" s="11" t="n">
        <x:v>0</x:v>
      </x:c>
      <x:c r="I136" s="15" t="str"/>
      <x:c r="J136" s="13" t="str"/>
    </x:row>
    <x:row r="137" ht="15.75">
      <x:c r="A137" s="7" t="n">
        <x:v>135</x:v>
      </x:c>
      <x:c r="B137" s="7" t="str">
        <x:v>武栩同</x:v>
      </x:c>
      <x:c r="C137" s="7" t="str">
        <x:v>数学与应用数学2601班</x:v>
      </x:c>
      <x:c r="D137" s="7" t="str">
        <x:v>202612634</x:v>
      </x:c>
      <x:c r="E137" s="24" t="n">
        <x:f>MAX(0,1-F137)</x:f>
        <x:v>1</x:v>
      </x:c>
      <x:c r="F137" s="25" t="n">
        <x:f>MIN(1,(G137+H137)/1)</x:f>
        <x:v>0</x:v>
      </x:c>
      <x:c r="G137" s="11" t="n">
        <x:v>0</x:v>
      </x:c>
      <x:c r="H137" s="11" t="n">
        <x:v>0</x:v>
      </x:c>
      <x:c r="I137" s="11" t="str"/>
      <x:c r="J137" s="6" t="str"/>
    </x:row>
    <x:row r="138" ht="15.75">
      <x:c r="A138" s="7" t="n">
        <x:v>136</x:v>
      </x:c>
      <x:c r="B138" s="7" t="str">
        <x:v>吴伯涛</x:v>
      </x:c>
      <x:c r="C138" s="7" t="str">
        <x:v>数学与应用数学2601班</x:v>
      </x:c>
      <x:c r="D138" s="7" t="str">
        <x:v>202612636</x:v>
      </x:c>
      <x:c r="E138" s="24" t="n">
        <x:f>MAX(0,1-F138)</x:f>
        <x:v>1</x:v>
      </x:c>
      <x:c r="F138" s="25" t="n">
        <x:f>MIN(1,(G138+H138)/1)</x:f>
        <x:v>0</x:v>
      </x:c>
      <x:c r="G138" s="11" t="n">
        <x:v>0</x:v>
      </x:c>
      <x:c r="H138" s="11" t="n">
        <x:v>0</x:v>
      </x:c>
      <x:c r="I138" s="11" t="str"/>
      <x:c r="J138" s="6" t="str"/>
    </x:row>
    <x:row r="139" ht="15.75">
      <x:c r="A139" s="7" t="n">
        <x:v>137</x:v>
      </x:c>
      <x:c r="B139" s="7" t="str">
        <x:v>童桦</x:v>
      </x:c>
      <x:c r="C139" s="7" t="str">
        <x:v>数学与应用数学2601班</x:v>
      </x:c>
      <x:c r="D139" s="7" t="str">
        <x:v>202612867</x:v>
      </x:c>
      <x:c r="E139" s="24" t="n">
        <x:f>MAX(0,1-F139)</x:f>
        <x:v>1</x:v>
      </x:c>
      <x:c r="F139" s="25" t="n">
        <x:f>MIN(1,(G139+H139)/1)</x:f>
        <x:v>0</x:v>
      </x:c>
      <x:c r="G139" s="11" t="n">
        <x:v>0</x:v>
      </x:c>
      <x:c r="H139" s="11" t="n">
        <x:v>0</x:v>
      </x:c>
      <x:c r="I139" s="11" t="str"/>
      <x:c r="J139" s="6" t="str"/>
    </x:row>
    <x:row r="140" ht="15.75">
      <x:c r="A140" s="7" t="n">
        <x:v>138</x:v>
      </x:c>
      <x:c r="B140" s="7" t="str">
        <x:v>束汪怡</x:v>
      </x:c>
      <x:c r="C140" s="7" t="str">
        <x:v>数学与应用数学2601班</x:v>
      </x:c>
      <x:c r="D140" s="7" t="str">
        <x:v>202612919</x:v>
      </x:c>
      <x:c r="E140" s="24" t="n">
        <x:f>MAX(0,1-F140)</x:f>
        <x:v>1</x:v>
      </x:c>
      <x:c r="F140" s="25" t="n">
        <x:f>MIN(1,(G140+H140)/1)</x:f>
        <x:v>0</x:v>
      </x:c>
      <x:c r="G140" s="11" t="n">
        <x:v>0</x:v>
      </x:c>
      <x:c r="H140" s="11" t="n">
        <x:v>0</x:v>
      </x:c>
      <x:c r="I140" s="12" t="str"/>
      <x:c r="J140" s="6" t="str"/>
    </x:row>
    <x:row r="141" ht="15.75">
      <x:c r="A141" s="7" t="n">
        <x:v>139</x:v>
      </x:c>
      <x:c r="B141" s="7" t="str">
        <x:v>唐沫涵</x:v>
      </x:c>
      <x:c r="C141" s="7" t="str">
        <x:v>数学与应用数学2601班</x:v>
      </x:c>
      <x:c r="D141" s="7" t="str">
        <x:v>202612936</x:v>
      </x:c>
      <x:c r="E141" s="24" t="n">
        <x:f>MAX(0,1-F141)</x:f>
        <x:v>1</x:v>
      </x:c>
      <x:c r="F141" s="25" t="n">
        <x:f>MIN(1,(G141+H141)/1)</x:f>
        <x:v>0</x:v>
      </x:c>
      <x:c r="G141" s="11" t="n">
        <x:v>0</x:v>
      </x:c>
      <x:c r="H141" s="11" t="n">
        <x:v>0</x:v>
      </x:c>
      <x:c r="I141" s="11" t="str"/>
      <x:c r="J141" s="6" t="str"/>
    </x:row>
    <x:row r="142" ht="15.75">
      <x:c r="A142" s="7" t="n">
        <x:v>140</x:v>
      </x:c>
      <x:c r="B142" s="7" t="str">
        <x:v>高奕铭</x:v>
      </x:c>
      <x:c r="C142" s="7" t="str">
        <x:v>数学与应用数学2601班</x:v>
      </x:c>
      <x:c r="D142" s="7" t="str">
        <x:v>202613029</x:v>
      </x:c>
      <x:c r="E142" s="24" t="n">
        <x:f>MAX(0,1-F142)</x:f>
        <x:v>1</x:v>
      </x:c>
      <x:c r="F142" s="25" t="n">
        <x:f>MIN(1,(G142+H142)/1)</x:f>
        <x:v>0</x:v>
      </x:c>
      <x:c r="G142" s="11" t="n">
        <x:v>0</x:v>
      </x:c>
      <x:c r="H142" s="11" t="n">
        <x:v>0</x:v>
      </x:c>
      <x:c r="I142" s="11" t="str"/>
      <x:c r="J142" s="6" t="str"/>
    </x:row>
    <x:row r="143" ht="15.75">
      <x:c r="A143" s="7" t="n">
        <x:v>141</x:v>
      </x:c>
      <x:c r="B143" s="7" t="str">
        <x:v>吴越兮</x:v>
      </x:c>
      <x:c r="C143" s="7" t="str">
        <x:v>数学与应用数学2602班</x:v>
      </x:c>
      <x:c r="D143" s="7" t="str">
        <x:v>202610006</x:v>
      </x:c>
      <x:c r="E143" s="24" t="n">
        <x:f>MAX(0,1-F143)</x:f>
        <x:v>1</x:v>
      </x:c>
      <x:c r="F143" s="25" t="n">
        <x:f>MIN(1,(G143+H143)/1)</x:f>
        <x:v>0</x:v>
      </x:c>
      <x:c r="G143" s="11" t="n">
        <x:v>0</x:v>
      </x:c>
      <x:c r="H143" s="11" t="n">
        <x:v>0</x:v>
      </x:c>
      <x:c r="I143" s="11" t="str"/>
      <x:c r="J143" s="6" t="str"/>
    </x:row>
    <x:row r="144" ht="15.75">
      <x:c r="A144" s="7" t="n">
        <x:v>142</x:v>
      </x:c>
      <x:c r="B144" s="7" t="str">
        <x:v>李昀昕</x:v>
      </x:c>
      <x:c r="C144" s="7" t="str">
        <x:v>数学与应用数学2602班</x:v>
      </x:c>
      <x:c r="D144" s="7" t="str">
        <x:v>202610136</x:v>
      </x:c>
      <x:c r="E144" s="24" t="n">
        <x:f>MAX(0,1-F144)</x:f>
        <x:v>1</x:v>
      </x:c>
      <x:c r="F144" s="25" t="n">
        <x:f>MIN(1,(G144+H144)/1)</x:f>
        <x:v>0</x:v>
      </x:c>
      <x:c r="G144" s="11" t="n">
        <x:v>0</x:v>
      </x:c>
      <x:c r="H144" s="11" t="n">
        <x:v>0</x:v>
      </x:c>
      <x:c r="I144" s="11" t="str"/>
      <x:c r="J144" s="6" t="str"/>
    </x:row>
    <x:row r="145" ht="15.75">
      <x:c r="A145" s="7" t="n">
        <x:v>143</x:v>
      </x:c>
      <x:c r="B145" s="7" t="str">
        <x:v>徐茗珂</x:v>
      </x:c>
      <x:c r="C145" s="7" t="str">
        <x:v>数学与应用数学2602班</x:v>
      </x:c>
      <x:c r="D145" s="7" t="str">
        <x:v>202610200</x:v>
      </x:c>
      <x:c r="E145" s="24" t="n">
        <x:f>MAX(0,1-F145)</x:f>
        <x:v>1</x:v>
      </x:c>
      <x:c r="F145" s="25" t="n">
        <x:f>MIN(1,(G145+H145)/1)</x:f>
        <x:v>0</x:v>
      </x:c>
      <x:c r="G145" s="11" t="n">
        <x:v>0</x:v>
      </x:c>
      <x:c r="H145" s="11" t="n">
        <x:v>0</x:v>
      </x:c>
      <x:c r="I145" s="12" t="str"/>
      <x:c r="J145" s="6" t="str"/>
    </x:row>
    <x:row r="146" ht="15.75">
      <x:c r="A146" s="7" t="n">
        <x:v>144</x:v>
      </x:c>
      <x:c r="B146" s="7" t="str">
        <x:v>李佳鑫</x:v>
      </x:c>
      <x:c r="C146" s="7" t="str">
        <x:v>数学与应用数学2602班</x:v>
      </x:c>
      <x:c r="D146" s="7" t="str">
        <x:v>202610396</x:v>
      </x:c>
      <x:c r="E146" s="24" t="n">
        <x:f>MAX(0,1-F146)</x:f>
        <x:v>1</x:v>
      </x:c>
      <x:c r="F146" s="25" t="n">
        <x:f>MIN(1,(G146+H146)/1)</x:f>
        <x:v>0</x:v>
      </x:c>
      <x:c r="G146" s="11" t="n">
        <x:v>0</x:v>
      </x:c>
      <x:c r="H146" s="11" t="n">
        <x:v>0</x:v>
      </x:c>
      <x:c r="I146" s="11" t="str"/>
      <x:c r="J146" s="6" t="str"/>
    </x:row>
    <x:row r="147" ht="15.75">
      <x:c r="A147" s="7" t="n">
        <x:v>145</x:v>
      </x:c>
      <x:c r="B147" s="7" t="str">
        <x:v>蒋娅祯</x:v>
      </x:c>
      <x:c r="C147" s="7" t="str">
        <x:v>数学与应用数学2602班</x:v>
      </x:c>
      <x:c r="D147" s="7" t="str">
        <x:v>202610420</x:v>
      </x:c>
      <x:c r="E147" s="24" t="n">
        <x:f>MAX(0,1-F147)</x:f>
        <x:v>1</x:v>
      </x:c>
      <x:c r="F147" s="25" t="n">
        <x:f>MIN(1,(G147+H147)/1)</x:f>
        <x:v>0</x:v>
      </x:c>
      <x:c r="G147" s="11" t="n">
        <x:v>0</x:v>
      </x:c>
      <x:c r="H147" s="11" t="n">
        <x:v>0</x:v>
      </x:c>
      <x:c r="I147" s="11" t="str"/>
      <x:c r="J147" s="6" t="str"/>
    </x:row>
    <x:row r="148" ht="40.5">
      <x:c r="A148" s="7" t="n">
        <x:v>146</x:v>
      </x:c>
      <x:c r="B148" s="7" t="str">
        <x:v>张颢炀</x:v>
      </x:c>
      <x:c r="C148" s="7" t="str">
        <x:v>数学与应用数学2602班</x:v>
      </x:c>
      <x:c r="D148" s="7" t="str">
        <x:v>202610506</x:v>
      </x:c>
      <x:c r="E148" s="24" t="n">
        <x:f>MAX(0,1-F148)</x:f>
        <x:v>1</x:v>
      </x:c>
      <x:c r="F148" s="25" t="n">
        <x:f>MIN(1,(G148+H148)/1)</x:f>
        <x:v>0</x:v>
      </x:c>
      <x:c r="G148" s="11" t="n">
        <x:v>0</x:v>
      </x:c>
      <x:c r="H148" s="11" t="n">
        <x:v>0</x:v>
      </x:c>
      <x:c r="I148" s="18" t="str"/>
      <x:c r="J148" s="13" t="str"/>
    </x:row>
    <x:row r="149" ht="15.75">
      <x:c r="A149" s="7" t="n">
        <x:v>147</x:v>
      </x:c>
      <x:c r="B149" s="7" t="str">
        <x:v>杨婧暄</x:v>
      </x:c>
      <x:c r="C149" s="7" t="str">
        <x:v>数学与应用数学2602班</x:v>
      </x:c>
      <x:c r="D149" s="7" t="str">
        <x:v>202610668</x:v>
      </x:c>
      <x:c r="E149" s="24" t="n">
        <x:f>MAX(0,1-F149)</x:f>
        <x:v>1</x:v>
      </x:c>
      <x:c r="F149" s="25" t="n">
        <x:f>MIN(1,(G149+H149)/1)</x:f>
        <x:v>0</x:v>
      </x:c>
      <x:c r="G149" s="11" t="n">
        <x:v>0</x:v>
      </x:c>
      <x:c r="H149" s="11" t="n">
        <x:v>0</x:v>
      </x:c>
      <x:c r="I149" s="18" t="str"/>
      <x:c r="J149" s="13" t="str"/>
    </x:row>
    <x:row r="150" ht="15.75">
      <x:c r="A150" s="7" t="n">
        <x:v>148</x:v>
      </x:c>
      <x:c r="B150" s="7" t="str">
        <x:v>杨昕睿</x:v>
      </x:c>
      <x:c r="C150" s="7" t="str">
        <x:v>数学与应用数学2602班</x:v>
      </x:c>
      <x:c r="D150" s="7" t="str">
        <x:v>202610685</x:v>
      </x:c>
      <x:c r="E150" s="24" t="n">
        <x:f>MAX(0,1-F150)</x:f>
        <x:v>1</x:v>
      </x:c>
      <x:c r="F150" s="25" t="n">
        <x:f>MIN(1,(G150+H150)/1)</x:f>
        <x:v>0</x:v>
      </x:c>
      <x:c r="G150" s="11" t="n">
        <x:v>0</x:v>
      </x:c>
      <x:c r="H150" s="11" t="n">
        <x:v>0</x:v>
      </x:c>
      <x:c r="I150" s="11" t="str"/>
      <x:c r="J150" s="6" t="str"/>
    </x:row>
    <x:row r="151" ht="15.75">
      <x:c r="A151" s="7" t="n">
        <x:v>149</x:v>
      </x:c>
      <x:c r="B151" s="7" t="str">
        <x:v>胡子良</x:v>
      </x:c>
      <x:c r="C151" s="7" t="str">
        <x:v>数学与应用数学2602班</x:v>
      </x:c>
      <x:c r="D151" s="7" t="str">
        <x:v>202610754</x:v>
      </x:c>
      <x:c r="E151" s="24" t="n">
        <x:f>MAX(0,1-F151)</x:f>
        <x:v>1</x:v>
      </x:c>
      <x:c r="F151" s="25" t="n">
        <x:f>MIN(1,(G151+H151)/1)</x:f>
        <x:v>0</x:v>
      </x:c>
      <x:c r="G151" s="11" t="n">
        <x:v>0</x:v>
      </x:c>
      <x:c r="H151" s="11" t="n">
        <x:v>0</x:v>
      </x:c>
      <x:c r="I151" s="11" t="str"/>
      <x:c r="J151" s="6" t="str"/>
    </x:row>
    <x:row r="152" ht="27">
      <x:c r="A152" s="7" t="n">
        <x:v>150</x:v>
      </x:c>
      <x:c r="B152" s="7" t="str">
        <x:v>周桉霆</x:v>
      </x:c>
      <x:c r="C152" s="7" t="str">
        <x:v>数学与应用数学2602班</x:v>
      </x:c>
      <x:c r="D152" s="7" t="str">
        <x:v>202610932</x:v>
      </x:c>
      <x:c r="E152" s="24" t="n">
        <x:f>MAX(0,1-F152)</x:f>
        <x:v>1</x:v>
      </x:c>
      <x:c r="F152" s="25" t="n">
        <x:f>MIN(1,(G152+H152)/1)</x:f>
        <x:v>0</x:v>
      </x:c>
      <x:c r="G152" s="11" t="n">
        <x:v>0</x:v>
      </x:c>
      <x:c r="H152" s="11" t="n">
        <x:v>0</x:v>
      </x:c>
      <x:c r="I152" s="18" t="str"/>
      <x:c r="J152" s="6" t="str"/>
    </x:row>
    <x:row r="153" ht="15.75">
      <x:c r="A153" s="7" t="n">
        <x:v>151</x:v>
      </x:c>
      <x:c r="B153" s="7" t="str">
        <x:v>唐筱雨</x:v>
      </x:c>
      <x:c r="C153" s="7" t="str">
        <x:v>数学与应用数学2602班</x:v>
      </x:c>
      <x:c r="D153" s="7" t="str">
        <x:v>202611007</x:v>
      </x:c>
      <x:c r="E153" s="24" t="n">
        <x:f>MAX(0,1-F153)</x:f>
        <x:v>1</x:v>
      </x:c>
      <x:c r="F153" s="25" t="n">
        <x:f>MIN(1,(G153+H153)/1)</x:f>
        <x:v>0</x:v>
      </x:c>
      <x:c r="G153" s="11" t="n">
        <x:v>0</x:v>
      </x:c>
      <x:c r="H153" s="11" t="n">
        <x:v>0</x:v>
      </x:c>
      <x:c r="I153" s="11" t="str"/>
      <x:c r="J153" s="6" t="str"/>
    </x:row>
    <x:row r="154" ht="15.75">
      <x:c r="A154" s="7" t="n">
        <x:v>152</x:v>
      </x:c>
      <x:c r="B154" s="7" t="str">
        <x:v>朱启楠</x:v>
      </x:c>
      <x:c r="C154" s="7" t="str">
        <x:v>数学与应用数学2602班</x:v>
      </x:c>
      <x:c r="D154" s="7" t="str">
        <x:v>202611067</x:v>
      </x:c>
      <x:c r="E154" s="24" t="n">
        <x:f>MAX(0,1-F154)</x:f>
        <x:v>1</x:v>
      </x:c>
      <x:c r="F154" s="25" t="n">
        <x:f>MIN(1,(G154+H154)/1)</x:f>
        <x:v>0</x:v>
      </x:c>
      <x:c r="G154" s="11" t="n">
        <x:v>0</x:v>
      </x:c>
      <x:c r="H154" s="11" t="n">
        <x:v>0</x:v>
      </x:c>
      <x:c r="I154" s="12" t="str"/>
      <x:c r="J154" s="6" t="str"/>
    </x:row>
    <x:row r="155" ht="15.75">
      <x:c r="A155" s="7" t="n">
        <x:v>153</x:v>
      </x:c>
      <x:c r="B155" s="7" t="str">
        <x:v>朱俊儒</x:v>
      </x:c>
      <x:c r="C155" s="7" t="str">
        <x:v>数学与应用数学2602班</x:v>
      </x:c>
      <x:c r="D155" s="7" t="str">
        <x:v>202611102</x:v>
      </x:c>
      <x:c r="E155" s="24" t="n">
        <x:f>MAX(0,1-F155)</x:f>
        <x:v>1</x:v>
      </x:c>
      <x:c r="F155" s="25" t="n">
        <x:f>MIN(1,(G155+H155)/1)</x:f>
        <x:v>0</x:v>
      </x:c>
      <x:c r="G155" s="11" t="n">
        <x:v>0</x:v>
      </x:c>
      <x:c r="H155" s="11" t="n">
        <x:v>0</x:v>
      </x:c>
      <x:c r="I155" s="11" t="str"/>
      <x:c r="J155" s="6" t="str"/>
    </x:row>
    <x:row r="156" ht="15.75">
      <x:c r="A156" s="7" t="n">
        <x:v>154</x:v>
      </x:c>
      <x:c r="B156" s="7" t="str">
        <x:v>盖虹霖</x:v>
      </x:c>
      <x:c r="C156" s="7" t="str">
        <x:v>数学与应用数学2602班</x:v>
      </x:c>
      <x:c r="D156" s="7" t="str">
        <x:v>202611266</x:v>
      </x:c>
      <x:c r="E156" s="24" t="n">
        <x:f>MAX(0,1-F156)</x:f>
        <x:v>1</x:v>
      </x:c>
      <x:c r="F156" s="25" t="n">
        <x:f>MIN(1,(G156+H156)/1)</x:f>
        <x:v>0</x:v>
      </x:c>
      <x:c r="G156" s="11" t="n">
        <x:v>0</x:v>
      </x:c>
      <x:c r="H156" s="11" t="n">
        <x:v>0</x:v>
      </x:c>
      <x:c r="I156" s="11" t="str"/>
      <x:c r="J156" s="6" t="str"/>
    </x:row>
    <x:row r="157" ht="15.75">
      <x:c r="A157" s="7" t="n">
        <x:v>155</x:v>
      </x:c>
      <x:c r="B157" s="7" t="str">
        <x:v>胡雅雯</x:v>
      </x:c>
      <x:c r="C157" s="7" t="str">
        <x:v>数学与应用数学2602班</x:v>
      </x:c>
      <x:c r="D157" s="7" t="str">
        <x:v>202611335</x:v>
      </x:c>
      <x:c r="E157" s="24" t="n">
        <x:f>MAX(0,1-F157)</x:f>
        <x:v>1</x:v>
      </x:c>
      <x:c r="F157" s="25" t="n">
        <x:f>MIN(1,(G157+H157)/1)</x:f>
        <x:v>0</x:v>
      </x:c>
      <x:c r="G157" s="11" t="n">
        <x:v>0</x:v>
      </x:c>
      <x:c r="H157" s="11" t="n">
        <x:v>0</x:v>
      </x:c>
      <x:c r="I157" s="11" t="str"/>
      <x:c r="J157" s="6" t="str"/>
    </x:row>
    <x:row r="158" ht="15.75">
      <x:c r="A158" s="7" t="n">
        <x:v>156</x:v>
      </x:c>
      <x:c r="B158" s="7" t="str">
        <x:v>孙靖程</x:v>
      </x:c>
      <x:c r="C158" s="7" t="str">
        <x:v>数学与应用数学2602班</x:v>
      </x:c>
      <x:c r="D158" s="7" t="str">
        <x:v>202611393</x:v>
      </x:c>
      <x:c r="E158" s="24" t="n">
        <x:f>MAX(0,1-F158)</x:f>
        <x:v>1</x:v>
      </x:c>
      <x:c r="F158" s="25" t="n">
        <x:f>MIN(1,(G158+H158)/1)</x:f>
        <x:v>0</x:v>
      </x:c>
      <x:c r="G158" s="11" t="n">
        <x:v>0</x:v>
      </x:c>
      <x:c r="H158" s="11" t="n">
        <x:v>0</x:v>
      </x:c>
      <x:c r="I158" s="11" t="str"/>
      <x:c r="J158" s="6" t="str"/>
    </x:row>
    <x:row r="159" ht="15.75">
      <x:c r="A159" s="7" t="n">
        <x:v>157</x:v>
      </x:c>
      <x:c r="B159" s="7" t="str">
        <x:v>秦钰杰</x:v>
      </x:c>
      <x:c r="C159" s="7" t="str">
        <x:v>数学与应用数学2602班</x:v>
      </x:c>
      <x:c r="D159" s="7" t="str">
        <x:v>202611473</x:v>
      </x:c>
      <x:c r="E159" s="24" t="n">
        <x:f>MAX(0,1-F159)</x:f>
        <x:v>1</x:v>
      </x:c>
      <x:c r="F159" s="25" t="n">
        <x:f>MIN(1,(G159+H159)/1)</x:f>
        <x:v>0</x:v>
      </x:c>
      <x:c r="G159" s="11" t="n">
        <x:v>0</x:v>
      </x:c>
      <x:c r="H159" s="11" t="n">
        <x:v>0</x:v>
      </x:c>
      <x:c r="I159" s="11" t="str"/>
      <x:c r="J159" s="6" t="str"/>
    </x:row>
    <x:row r="160" ht="15.75">
      <x:c r="A160" s="7" t="n">
        <x:v>158</x:v>
      </x:c>
      <x:c r="B160" s="7" t="str">
        <x:v>曾若橦</x:v>
      </x:c>
      <x:c r="C160" s="7" t="str">
        <x:v>数学与应用数学2602班</x:v>
      </x:c>
      <x:c r="D160" s="7" t="str">
        <x:v>202611476</x:v>
      </x:c>
      <x:c r="E160" s="24" t="n">
        <x:f>MAX(0,1-F160)</x:f>
        <x:v>1</x:v>
      </x:c>
      <x:c r="F160" s="25" t="n">
        <x:f>MIN(1,(G160+H160)/1)</x:f>
        <x:v>0</x:v>
      </x:c>
      <x:c r="G160" s="11" t="n">
        <x:v>0</x:v>
      </x:c>
      <x:c r="H160" s="11" t="n">
        <x:v>0</x:v>
      </x:c>
      <x:c r="I160" s="11" t="str"/>
      <x:c r="J160" s="6" t="str"/>
    </x:row>
    <x:row r="161" ht="15.75">
      <x:c r="A161" s="7" t="n">
        <x:v>159</x:v>
      </x:c>
      <x:c r="B161" s="7" t="str">
        <x:v>吴佳玏</x:v>
      </x:c>
      <x:c r="C161" s="7" t="str">
        <x:v>数学与应用数学2602班</x:v>
      </x:c>
      <x:c r="D161" s="7" t="str">
        <x:v>202611580</x:v>
      </x:c>
      <x:c r="E161" s="24" t="n">
        <x:f>MAX(0,1-F161)</x:f>
        <x:v>1</x:v>
      </x:c>
      <x:c r="F161" s="25" t="n">
        <x:f>MIN(1,(G161+H161)/1)</x:f>
        <x:v>0</x:v>
      </x:c>
      <x:c r="G161" s="11" t="n">
        <x:v>0</x:v>
      </x:c>
      <x:c r="H161" s="11" t="n">
        <x:v>0</x:v>
      </x:c>
      <x:c r="I161" s="11" t="str"/>
      <x:c r="J161" s="6" t="str"/>
    </x:row>
    <x:row r="162" ht="15.75">
      <x:c r="A162" s="7" t="n">
        <x:v>160</x:v>
      </x:c>
      <x:c r="B162" s="7" t="str">
        <x:v>王希宸</x:v>
      </x:c>
      <x:c r="C162" s="7" t="str">
        <x:v>数学与应用数学2602班</x:v>
      </x:c>
      <x:c r="D162" s="7" t="str">
        <x:v>202611685</x:v>
      </x:c>
      <x:c r="E162" s="24" t="n">
        <x:f>MAX(0,1-F162)</x:f>
        <x:v>1</x:v>
      </x:c>
      <x:c r="F162" s="25" t="n">
        <x:f>MIN(1,(G162+H162)/1)</x:f>
        <x:v>0</x:v>
      </x:c>
      <x:c r="G162" s="11" t="n">
        <x:v>0</x:v>
      </x:c>
      <x:c r="H162" s="11" t="n">
        <x:v>0</x:v>
      </x:c>
      <x:c r="I162" s="11" t="str"/>
      <x:c r="J162" s="6" t="str"/>
    </x:row>
    <x:row r="163" ht="15.75">
      <x:c r="A163" s="7" t="n">
        <x:v>161</x:v>
      </x:c>
      <x:c r="B163" s="7" t="str">
        <x:v>丁子墨</x:v>
      </x:c>
      <x:c r="C163" s="7" t="str">
        <x:v>数学与应用数学2602班</x:v>
      </x:c>
      <x:c r="D163" s="7" t="str">
        <x:v>202611688</x:v>
      </x:c>
      <x:c r="E163" s="24" t="n">
        <x:f>MAX(0,1-F163)</x:f>
        <x:v>1</x:v>
      </x:c>
      <x:c r="F163" s="25" t="n">
        <x:f>MIN(1,(G163+H163)/1)</x:f>
        <x:v>0</x:v>
      </x:c>
      <x:c r="G163" s="11" t="n">
        <x:v>0</x:v>
      </x:c>
      <x:c r="H163" s="11" t="n">
        <x:v>0</x:v>
      </x:c>
      <x:c r="I163" s="11" t="str"/>
      <x:c r="J163" s="6" t="str"/>
    </x:row>
    <x:row r="164" ht="15.75">
      <x:c r="A164" s="7" t="n">
        <x:v>162</x:v>
      </x:c>
      <x:c r="B164" s="7" t="str">
        <x:v>张凯然</x:v>
      </x:c>
      <x:c r="C164" s="7" t="str">
        <x:v>数学与应用数学2602班</x:v>
      </x:c>
      <x:c r="D164" s="7" t="str">
        <x:v>202611866</x:v>
      </x:c>
      <x:c r="E164" s="24" t="n">
        <x:f>MAX(0,1-F164)</x:f>
        <x:v>1</x:v>
      </x:c>
      <x:c r="F164" s="25" t="n">
        <x:f>MIN(1,(G164+H164)/1)</x:f>
        <x:v>0</x:v>
      </x:c>
      <x:c r="G164" s="11" t="n">
        <x:v>0</x:v>
      </x:c>
      <x:c r="H164" s="11" t="n">
        <x:v>0</x:v>
      </x:c>
      <x:c r="I164" s="12" t="str"/>
      <x:c r="J164" s="6" t="str"/>
    </x:row>
    <x:row r="165" ht="15.75">
      <x:c r="A165" s="7" t="n">
        <x:v>163</x:v>
      </x:c>
      <x:c r="B165" s="7" t="str">
        <x:v>蔡东明</x:v>
      </x:c>
      <x:c r="C165" s="7" t="str">
        <x:v>数学与应用数学2602班</x:v>
      </x:c>
      <x:c r="D165" s="7" t="str">
        <x:v>202612006</x:v>
      </x:c>
      <x:c r="E165" s="24" t="n">
        <x:f>MAX(0,1-F165)</x:f>
        <x:v>1</x:v>
      </x:c>
      <x:c r="F165" s="25" t="n">
        <x:f>MIN(1,(G165+H165)/1)</x:f>
        <x:v>0</x:v>
      </x:c>
      <x:c r="G165" s="11" t="n">
        <x:v>0</x:v>
      </x:c>
      <x:c r="H165" s="11" t="n">
        <x:v>0</x:v>
      </x:c>
      <x:c r="I165" s="11" t="str"/>
      <x:c r="J165" s="6" t="str"/>
    </x:row>
    <x:row r="166" ht="15.75">
      <x:c r="A166" s="7" t="n">
        <x:v>164</x:v>
      </x:c>
      <x:c r="B166" s="7" t="str">
        <x:v>虞嘉瑞</x:v>
      </x:c>
      <x:c r="C166" s="7" t="str">
        <x:v>数学与应用数学2602班</x:v>
      </x:c>
      <x:c r="D166" s="7" t="str">
        <x:v>202612331</x:v>
      </x:c>
      <x:c r="E166" s="24" t="n">
        <x:f>MAX(0,1-F166)</x:f>
        <x:v>1</x:v>
      </x:c>
      <x:c r="F166" s="25" t="n">
        <x:f>MIN(1,(G166+H166)/1)</x:f>
        <x:v>0</x:v>
      </x:c>
      <x:c r="G166" s="11" t="n">
        <x:v>0</x:v>
      </x:c>
      <x:c r="H166" s="11" t="n">
        <x:v>0</x:v>
      </x:c>
      <x:c r="I166" s="12" t="str"/>
      <x:c r="J166" s="6" t="str"/>
    </x:row>
    <x:row r="167" ht="15.75">
      <x:c r="A167" s="7" t="n">
        <x:v>165</x:v>
      </x:c>
      <x:c r="B167" s="7" t="str">
        <x:v>肖雨彤</x:v>
      </x:c>
      <x:c r="C167" s="7" t="str">
        <x:v>数学与应用数学2602班</x:v>
      </x:c>
      <x:c r="D167" s="7" t="str">
        <x:v>202612531</x:v>
      </x:c>
      <x:c r="E167" s="24" t="n">
        <x:f>MAX(0,1-F167)</x:f>
        <x:v>1</x:v>
      </x:c>
      <x:c r="F167" s="25" t="n">
        <x:f>MIN(1,(G167+H167)/1)</x:f>
        <x:v>0</x:v>
      </x:c>
      <x:c r="G167" s="11" t="n">
        <x:v>0</x:v>
      </x:c>
      <x:c r="H167" s="11" t="n">
        <x:v>0</x:v>
      </x:c>
      <x:c r="I167" s="12" t="str"/>
      <x:c r="J167" s="6" t="str"/>
    </x:row>
    <x:row r="168" ht="15.75">
      <x:c r="A168" s="7" t="n">
        <x:v>166</x:v>
      </x:c>
      <x:c r="B168" s="7" t="str">
        <x:v>许诗茵</x:v>
      </x:c>
      <x:c r="C168" s="7" t="str">
        <x:v>数学与应用数学2602班</x:v>
      </x:c>
      <x:c r="D168" s="7" t="str">
        <x:v>202612635</x:v>
      </x:c>
      <x:c r="E168" s="24" t="n">
        <x:f>MAX(0,1-F168)</x:f>
        <x:v>1</x:v>
      </x:c>
      <x:c r="F168" s="25" t="n">
        <x:f>MIN(1,(G168+H168)/1)</x:f>
        <x:v>0</x:v>
      </x:c>
      <x:c r="G168" s="11" t="n">
        <x:v>0</x:v>
      </x:c>
      <x:c r="H168" s="11" t="n">
        <x:v>0</x:v>
      </x:c>
      <x:c r="I168" s="11" t="str"/>
      <x:c r="J168" s="6" t="str"/>
    </x:row>
    <x:row r="169" ht="15.75">
      <x:c r="A169" s="7" t="n">
        <x:v>167</x:v>
      </x:c>
      <x:c r="B169" s="7" t="str">
        <x:v>叶铭垚</x:v>
      </x:c>
      <x:c r="C169" s="7" t="str">
        <x:v>数学与应用数学2602班</x:v>
      </x:c>
      <x:c r="D169" s="7" t="str">
        <x:v>202612637</x:v>
      </x:c>
      <x:c r="E169" s="24" t="n">
        <x:f>MAX(0,1-F169)</x:f>
        <x:v>1</x:v>
      </x:c>
      <x:c r="F169" s="25" t="n">
        <x:f>MIN(1,(G169+H169)/1)</x:f>
        <x:v>0</x:v>
      </x:c>
      <x:c r="G169" s="11" t="n">
        <x:v>0</x:v>
      </x:c>
      <x:c r="H169" s="11" t="n">
        <x:v>0</x:v>
      </x:c>
      <x:c r="I169" s="11" t="str"/>
      <x:c r="J169" s="6" t="str"/>
    </x:row>
    <x:row r="170" ht="15.75">
      <x:c r="A170" s="7" t="n">
        <x:v>168</x:v>
      </x:c>
      <x:c r="B170" s="7" t="str">
        <x:v>汪冬麟</x:v>
      </x:c>
      <x:c r="C170" s="7" t="str">
        <x:v>数学与应用数学2602班</x:v>
      </x:c>
      <x:c r="D170" s="7" t="str">
        <x:v>202612880</x:v>
      </x:c>
      <x:c r="E170" s="24" t="n">
        <x:f>MAX(0,1-F170)</x:f>
        <x:v>1</x:v>
      </x:c>
      <x:c r="F170" s="25" t="n">
        <x:f>MIN(1,(G170+H170)/1)</x:f>
        <x:v>0</x:v>
      </x:c>
      <x:c r="G170" s="11" t="n">
        <x:v>0</x:v>
      </x:c>
      <x:c r="H170" s="11" t="n">
        <x:v>0</x:v>
      </x:c>
      <x:c r="I170" s="11" t="str"/>
      <x:c r="J170" s="6" t="str"/>
    </x:row>
    <x:row r="171" ht="15.75">
      <x:c r="A171" s="7" t="n">
        <x:v>169</x:v>
      </x:c>
      <x:c r="B171" s="7" t="str">
        <x:v>丁贤哲</x:v>
      </x:c>
      <x:c r="C171" s="7" t="str">
        <x:v>数学与应用数学2602班</x:v>
      </x:c>
      <x:c r="D171" s="7" t="str">
        <x:v>202612943</x:v>
      </x:c>
      <x:c r="E171" s="24" t="n">
        <x:f>MAX(0,1-F171)</x:f>
        <x:v>1</x:v>
      </x:c>
      <x:c r="F171" s="25" t="n">
        <x:f>MIN(1,(G171+H171)/1)</x:f>
        <x:v>0</x:v>
      </x:c>
      <x:c r="G171" s="11" t="n">
        <x:v>0</x:v>
      </x:c>
      <x:c r="H171" s="11" t="n">
        <x:v>0</x:v>
      </x:c>
      <x:c r="I171" s="11" t="str"/>
      <x:c r="J171" s="6" t="str"/>
    </x:row>
    <x:row r="172" ht="15.75">
      <x:c r="A172" s="7" t="n">
        <x:v>170</x:v>
      </x:c>
      <x:c r="B172" s="7" t="str">
        <x:v>邵予祺</x:v>
      </x:c>
      <x:c r="C172" s="7" t="str">
        <x:v>数学与应用数学2602班</x:v>
      </x:c>
      <x:c r="D172" s="7" t="str">
        <x:v>202612956</x:v>
      </x:c>
      <x:c r="E172" s="24" t="n">
        <x:f>MAX(0,1-F172)</x:f>
        <x:v>1</x:v>
      </x:c>
      <x:c r="F172" s="25" t="n">
        <x:f>MIN(1,(G172+H172)/1)</x:f>
        <x:v>0</x:v>
      </x:c>
      <x:c r="G172" s="11" t="n">
        <x:v>0</x:v>
      </x:c>
      <x:c r="H172" s="11" t="n">
        <x:v>0</x:v>
      </x:c>
      <x:c r="I172" s="18" t="str"/>
      <x:c r="J172" s="6" t="str"/>
    </x:row>
    <x:row r="173" ht="15.75">
      <x:c r="A173" s="7" t="n">
        <x:v>171</x:v>
      </x:c>
      <x:c r="B173" s="7" t="str">
        <x:v>赵翌彤</x:v>
      </x:c>
      <x:c r="C173" s="7" t="str">
        <x:v>数学与应用数学2603班</x:v>
      </x:c>
      <x:c r="D173" s="7" t="str">
        <x:v>202610029</x:v>
      </x:c>
      <x:c r="E173" s="24" t="n">
        <x:f>MAX(0,1-F173)</x:f>
        <x:v>1</x:v>
      </x:c>
      <x:c r="F173" s="25" t="n">
        <x:f>MIN(1,(G173+H173)/1)</x:f>
        <x:v>0</x:v>
      </x:c>
      <x:c r="G173" s="11" t="n">
        <x:v>0</x:v>
      </x:c>
      <x:c r="H173" s="11" t="n">
        <x:v>0</x:v>
      </x:c>
      <x:c r="I173" s="11" t="str"/>
      <x:c r="J173" s="6" t="str"/>
    </x:row>
    <x:row r="174" ht="15.75">
      <x:c r="A174" s="7" t="n">
        <x:v>172</x:v>
      </x:c>
      <x:c r="B174" s="7" t="str">
        <x:v>龙怡锦</x:v>
      </x:c>
      <x:c r="C174" s="7" t="str">
        <x:v>数学与应用数学2603班</x:v>
      </x:c>
      <x:c r="D174" s="7" t="str">
        <x:v>202610043</x:v>
      </x:c>
      <x:c r="E174" s="24" t="n">
        <x:f>MAX(0,1-F174)</x:f>
        <x:v>1</x:v>
      </x:c>
      <x:c r="F174" s="25" t="n">
        <x:f>MIN(1,(G174+H174)/1)</x:f>
        <x:v>0</x:v>
      </x:c>
      <x:c r="G174" s="11" t="n">
        <x:v>0</x:v>
      </x:c>
      <x:c r="H174" s="11" t="n">
        <x:v>0</x:v>
      </x:c>
      <x:c r="I174" s="11" t="str"/>
      <x:c r="J174" s="6" t="str"/>
    </x:row>
    <x:row r="175" ht="15.75">
      <x:c r="A175" s="7" t="n">
        <x:v>173</x:v>
      </x:c>
      <x:c r="B175" s="7" t="str">
        <x:v>周子杭</x:v>
      </x:c>
      <x:c r="C175" s="7" t="str">
        <x:v>数学与应用数学2603班</x:v>
      </x:c>
      <x:c r="D175" s="7" t="str">
        <x:v>202610220</x:v>
      </x:c>
      <x:c r="E175" s="24" t="n">
        <x:f>MAX(0,1-F175)</x:f>
        <x:v>1</x:v>
      </x:c>
      <x:c r="F175" s="25" t="n">
        <x:f>MIN(1,(G175+H175)/1)</x:f>
        <x:v>0</x:v>
      </x:c>
      <x:c r="G175" s="11" t="n">
        <x:v>0</x:v>
      </x:c>
      <x:c r="H175" s="11" t="n">
        <x:v>0</x:v>
      </x:c>
      <x:c r="I175" s="11" t="str"/>
      <x:c r="J175" s="6" t="str"/>
    </x:row>
    <x:row r="176" ht="15.75">
      <x:c r="A176" s="7" t="n">
        <x:v>174</x:v>
      </x:c>
      <x:c r="B176" s="7" t="str">
        <x:v>李思雨</x:v>
      </x:c>
      <x:c r="C176" s="7" t="str">
        <x:v>数学与应用数学2603班</x:v>
      </x:c>
      <x:c r="D176" s="7" t="str">
        <x:v>202610326</x:v>
      </x:c>
      <x:c r="E176" s="24" t="n">
        <x:f>MAX(0,1-F176)</x:f>
        <x:v>1</x:v>
      </x:c>
      <x:c r="F176" s="25" t="n">
        <x:f>MIN(1,(G176+H176)/1)</x:f>
        <x:v>0</x:v>
      </x:c>
      <x:c r="G176" s="11" t="n">
        <x:v>0</x:v>
      </x:c>
      <x:c r="H176" s="11" t="n">
        <x:v>0</x:v>
      </x:c>
      <x:c r="I176" s="11" t="str"/>
      <x:c r="J176" s="6" t="str"/>
    </x:row>
    <x:row r="177" ht="15.75">
      <x:c r="A177" s="7" t="n">
        <x:v>175</x:v>
      </x:c>
      <x:c r="B177" s="7" t="str">
        <x:v>孟庆勋</x:v>
      </x:c>
      <x:c r="C177" s="7" t="str">
        <x:v>数学与应用数学2603班</x:v>
      </x:c>
      <x:c r="D177" s="7" t="str">
        <x:v>202610403</x:v>
      </x:c>
      <x:c r="E177" s="24" t="n">
        <x:f>MAX(0,1-F177)</x:f>
        <x:v>1</x:v>
      </x:c>
      <x:c r="F177" s="25" t="n">
        <x:f>MIN(1,(G177+H177)/1)</x:f>
        <x:v>0</x:v>
      </x:c>
      <x:c r="G177" s="11" t="n">
        <x:v>0</x:v>
      </x:c>
      <x:c r="H177" s="11" t="n">
        <x:v>0</x:v>
      </x:c>
      <x:c r="I177" s="11" t="str"/>
      <x:c r="J177" s="6" t="str"/>
    </x:row>
    <x:row r="178" ht="15.75">
      <x:c r="A178" s="7" t="n">
        <x:v>176</x:v>
      </x:c>
      <x:c r="B178" s="7" t="str">
        <x:v>杜雨鑫</x:v>
      </x:c>
      <x:c r="C178" s="7" t="str">
        <x:v>数学与应用数学2603班</x:v>
      </x:c>
      <x:c r="D178" s="7" t="str">
        <x:v>202610434</x:v>
      </x:c>
      <x:c r="E178" s="24" t="n">
        <x:f>MAX(0,1-F178)</x:f>
        <x:v>1</x:v>
      </x:c>
      <x:c r="F178" s="25" t="n">
        <x:f>MIN(1,(G178+H178)/1)</x:f>
        <x:v>0</x:v>
      </x:c>
      <x:c r="G178" s="11" t="n">
        <x:v>0</x:v>
      </x:c>
      <x:c r="H178" s="11" t="n">
        <x:v>0</x:v>
      </x:c>
      <x:c r="I178" s="12" t="str"/>
      <x:c r="J178" s="6" t="str"/>
    </x:row>
    <x:row r="179" ht="15.75">
      <x:c r="A179" s="7" t="n">
        <x:v>177</x:v>
      </x:c>
      <x:c r="B179" s="7" t="str">
        <x:v>杜欣芮</x:v>
      </x:c>
      <x:c r="C179" s="7" t="str">
        <x:v>数学与应用数学2603班</x:v>
      </x:c>
      <x:c r="D179" s="7" t="str">
        <x:v>202610684</x:v>
      </x:c>
      <x:c r="E179" s="24" t="n">
        <x:f>MAX(0,1-F179)</x:f>
        <x:v>1</x:v>
      </x:c>
      <x:c r="F179" s="25" t="n">
        <x:f>MIN(1,(G179+H179)/1)</x:f>
        <x:v>0</x:v>
      </x:c>
      <x:c r="G179" s="11" t="n">
        <x:v>0</x:v>
      </x:c>
      <x:c r="H179" s="11" t="n">
        <x:v>0</x:v>
      </x:c>
      <x:c r="I179" s="18" t="str"/>
      <x:c r="J179" s="6" t="str"/>
    </x:row>
    <x:row r="180" ht="15.75">
      <x:c r="A180" s="7" t="n">
        <x:v>178</x:v>
      </x:c>
      <x:c r="B180" s="7" t="str">
        <x:v>陈卓</x:v>
      </x:c>
      <x:c r="C180" s="7" t="str">
        <x:v>数学与应用数学2603班</x:v>
      </x:c>
      <x:c r="D180" s="7" t="str">
        <x:v>202610705</x:v>
      </x:c>
      <x:c r="E180" s="24" t="n">
        <x:f>MAX(0,1-F180)</x:f>
        <x:v>1</x:v>
      </x:c>
      <x:c r="F180" s="25" t="n">
        <x:f>MIN(1,(G180+H180)/1)</x:f>
        <x:v>0</x:v>
      </x:c>
      <x:c r="G180" s="11" t="n">
        <x:v>0</x:v>
      </x:c>
      <x:c r="H180" s="11" t="n">
        <x:v>0</x:v>
      </x:c>
      <x:c r="I180" s="11" t="str"/>
      <x:c r="J180" s="6" t="str"/>
    </x:row>
    <x:row r="181" ht="15.75">
      <x:c r="A181" s="7" t="n">
        <x:v>179</x:v>
      </x:c>
      <x:c r="B181" s="7" t="str">
        <x:v>郭佳辰</x:v>
      </x:c>
      <x:c r="C181" s="7" t="str">
        <x:v>数学与应用数学2603班</x:v>
      </x:c>
      <x:c r="D181" s="7" t="str">
        <x:v>202610778</x:v>
      </x:c>
      <x:c r="E181" s="24" t="n">
        <x:f>MAX(0,1-F181)</x:f>
        <x:v>1</x:v>
      </x:c>
      <x:c r="F181" s="25" t="n">
        <x:f>MIN(1,(G181+H181)/1)</x:f>
        <x:v>0</x:v>
      </x:c>
      <x:c r="G181" s="11" t="n">
        <x:v>0</x:v>
      </x:c>
      <x:c r="H181" s="11" t="n">
        <x:v>0</x:v>
      </x:c>
      <x:c r="I181" s="11" t="str"/>
      <x:c r="J181" s="6" t="str"/>
    </x:row>
    <x:row r="182" ht="15.75">
      <x:c r="A182" s="7" t="n">
        <x:v>180</x:v>
      </x:c>
      <x:c r="B182" s="7" t="str">
        <x:v>王子嶒</x:v>
      </x:c>
      <x:c r="C182" s="7" t="str">
        <x:v>数学与应用数学2603班</x:v>
      </x:c>
      <x:c r="D182" s="7" t="str">
        <x:v>202610958</x:v>
      </x:c>
      <x:c r="E182" s="24" t="n">
        <x:f>MAX(0,1-F182)</x:f>
        <x:v>1</x:v>
      </x:c>
      <x:c r="F182" s="25" t="n">
        <x:f>MIN(1,(G182+H182)/1)</x:f>
        <x:v>0</x:v>
      </x:c>
      <x:c r="G182" s="11" t="n">
        <x:v>0</x:v>
      </x:c>
      <x:c r="H182" s="11" t="n">
        <x:v>0</x:v>
      </x:c>
      <x:c r="I182" s="11" t="str"/>
      <x:c r="J182" s="6" t="str"/>
    </x:row>
    <x:row r="183" ht="15.75">
      <x:c r="A183" s="7" t="n">
        <x:v>181</x:v>
      </x:c>
      <x:c r="B183" s="7" t="str">
        <x:v>匡子鹏</x:v>
      </x:c>
      <x:c r="C183" s="7" t="str">
        <x:v>数学与应用数学2603班</x:v>
      </x:c>
      <x:c r="D183" s="7" t="str">
        <x:v>202610965</x:v>
      </x:c>
      <x:c r="E183" s="24" t="n">
        <x:f>MAX(0,1-F183)</x:f>
        <x:v>1</x:v>
      </x:c>
      <x:c r="F183" s="25" t="n">
        <x:f>MIN(1,(G183+H183)/1)</x:f>
        <x:v>0</x:v>
      </x:c>
      <x:c r="G183" s="11" t="n">
        <x:v>0</x:v>
      </x:c>
      <x:c r="H183" s="11" t="n">
        <x:v>0</x:v>
      </x:c>
      <x:c r="I183" s="11" t="str"/>
      <x:c r="J183" s="6" t="str"/>
    </x:row>
    <x:row r="184" ht="15.75">
      <x:c r="A184" s="7" t="n">
        <x:v>182</x:v>
      </x:c>
      <x:c r="B184" s="7" t="str">
        <x:v>王沛阳</x:v>
      </x:c>
      <x:c r="C184" s="7" t="str">
        <x:v>数学与应用数学2603班</x:v>
      </x:c>
      <x:c r="D184" s="7" t="str">
        <x:v>202611070</x:v>
      </x:c>
      <x:c r="E184" s="24" t="n">
        <x:f>MAX(0,1-F184)</x:f>
        <x:v>1</x:v>
      </x:c>
      <x:c r="F184" s="25" t="n">
        <x:f>MIN(1,(G184+H184)/1)</x:f>
        <x:v>0</x:v>
      </x:c>
      <x:c r="G184" s="11" t="n">
        <x:v>0</x:v>
      </x:c>
      <x:c r="H184" s="11" t="n">
        <x:v>0</x:v>
      </x:c>
      <x:c r="I184" s="11" t="str"/>
      <x:c r="J184" s="6" t="str"/>
    </x:row>
    <x:row r="185" ht="15.75">
      <x:c r="A185" s="7" t="n">
        <x:v>183</x:v>
      </x:c>
      <x:c r="B185" s="7" t="str">
        <x:v>沈楚域</x:v>
      </x:c>
      <x:c r="C185" s="7" t="str">
        <x:v>数学与应用数学2603班</x:v>
      </x:c>
      <x:c r="D185" s="7" t="str">
        <x:v>202611117</x:v>
      </x:c>
      <x:c r="E185" s="24" t="n">
        <x:f>MAX(0,1-F185)</x:f>
        <x:v>1</x:v>
      </x:c>
      <x:c r="F185" s="25" t="n">
        <x:f>MIN(1,(G185+H185)/1)</x:f>
        <x:v>0</x:v>
      </x:c>
      <x:c r="G185" s="11" t="n">
        <x:v>0</x:v>
      </x:c>
      <x:c r="H185" s="11" t="n">
        <x:v>0</x:v>
      </x:c>
      <x:c r="I185" s="11" t="str"/>
      <x:c r="J185" s="6" t="str"/>
    </x:row>
    <x:row r="186" ht="15.75">
      <x:c r="A186" s="7" t="n">
        <x:v>184</x:v>
      </x:c>
      <x:c r="B186" s="7" t="str">
        <x:v>彭小鹏</x:v>
      </x:c>
      <x:c r="C186" s="7" t="str">
        <x:v>数学与应用数学2603班</x:v>
      </x:c>
      <x:c r="D186" s="7" t="str">
        <x:v>202611250</x:v>
      </x:c>
      <x:c r="E186" s="24" t="n">
        <x:f>MAX(0,1-F186)</x:f>
        <x:v>1</x:v>
      </x:c>
      <x:c r="F186" s="25" t="n">
        <x:f>MIN(1,(G186+H186)/1)</x:f>
        <x:v>0</x:v>
      </x:c>
      <x:c r="G186" s="11" t="n">
        <x:v>0</x:v>
      </x:c>
      <x:c r="H186" s="11" t="n">
        <x:v>0</x:v>
      </x:c>
      <x:c r="I186" s="11" t="str"/>
      <x:c r="J186" s="6" t="str"/>
    </x:row>
    <x:row r="187" ht="15.75">
      <x:c r="A187" s="7" t="n">
        <x:v>185</x:v>
      </x:c>
      <x:c r="B187" s="7" t="str">
        <x:v>王翊泽</x:v>
      </x:c>
      <x:c r="C187" s="7" t="str">
        <x:v>数学与应用数学2603班</x:v>
      </x:c>
      <x:c r="D187" s="7" t="str">
        <x:v>202611306</x:v>
      </x:c>
      <x:c r="E187" s="24" t="n">
        <x:f>MAX(0,1-F187)</x:f>
        <x:v>1</x:v>
      </x:c>
      <x:c r="F187" s="25" t="n">
        <x:f>MIN(1,(G187+H187)/1)</x:f>
        <x:v>0</x:v>
      </x:c>
      <x:c r="G187" s="11" t="n">
        <x:v>0</x:v>
      </x:c>
      <x:c r="H187" s="11" t="n">
        <x:v>0</x:v>
      </x:c>
      <x:c r="I187" s="12" t="str"/>
      <x:c r="J187" s="6" t="str"/>
    </x:row>
    <x:row r="188" ht="15.75">
      <x:c r="A188" s="7" t="n">
        <x:v>186</x:v>
      </x:c>
      <x:c r="B188" s="7" t="str">
        <x:v>崔恒睿</x:v>
      </x:c>
      <x:c r="C188" s="7" t="str">
        <x:v>数学与应用数学2603班</x:v>
      </x:c>
      <x:c r="D188" s="7" t="str">
        <x:v>202611402</x:v>
      </x:c>
      <x:c r="E188" s="24" t="n">
        <x:f>MAX(0,1-F188)</x:f>
        <x:v>1</x:v>
      </x:c>
      <x:c r="F188" s="25" t="n">
        <x:f>MIN(1,(G188+H188)/1)</x:f>
        <x:v>0</x:v>
      </x:c>
      <x:c r="G188" s="11" t="n">
        <x:v>0</x:v>
      </x:c>
      <x:c r="H188" s="11" t="n">
        <x:v>0</x:v>
      </x:c>
      <x:c r="I188" s="11" t="str"/>
      <x:c r="J188" s="6" t="str"/>
    </x:row>
    <x:row r="189" ht="15.75">
      <x:c r="A189" s="7" t="n">
        <x:v>187</x:v>
      </x:c>
      <x:c r="B189" s="7" t="str">
        <x:v>张凯茜</x:v>
      </x:c>
      <x:c r="C189" s="7" t="str">
        <x:v>数学与应用数学2603班</x:v>
      </x:c>
      <x:c r="D189" s="7" t="str">
        <x:v>202611489</x:v>
      </x:c>
      <x:c r="E189" s="24" t="n">
        <x:f>MAX(0,1-F189)</x:f>
        <x:v>1</x:v>
      </x:c>
      <x:c r="F189" s="25" t="n">
        <x:f>MIN(1,(G189+H189)/1)</x:f>
        <x:v>0</x:v>
      </x:c>
      <x:c r="G189" s="11" t="n">
        <x:v>0</x:v>
      </x:c>
      <x:c r="H189" s="11" t="n">
        <x:v>0</x:v>
      </x:c>
      <x:c r="I189" s="11" t="str"/>
      <x:c r="J189" s="6" t="str"/>
    </x:row>
    <x:row r="190" ht="15.75">
      <x:c r="A190" s="7" t="n">
        <x:v>188</x:v>
      </x:c>
      <x:c r="B190" s="7" t="str">
        <x:v>田森宇</x:v>
      </x:c>
      <x:c r="C190" s="7" t="str">
        <x:v>数学与应用数学2603班</x:v>
      </x:c>
      <x:c r="D190" s="7" t="str">
        <x:v>202611492</x:v>
      </x:c>
      <x:c r="E190" s="24" t="n">
        <x:f>MAX(0,1-F190)</x:f>
        <x:v>1</x:v>
      </x:c>
      <x:c r="F190" s="25" t="n">
        <x:f>MIN(1,(G190+H190)/1)</x:f>
        <x:v>0</x:v>
      </x:c>
      <x:c r="G190" s="11" t="n">
        <x:v>0</x:v>
      </x:c>
      <x:c r="H190" s="11" t="n">
        <x:v>0</x:v>
      </x:c>
      <x:c r="I190" s="11" t="str"/>
      <x:c r="J190" s="6" t="str"/>
    </x:row>
    <x:row r="191" ht="15.75">
      <x:c r="A191" s="7" t="n">
        <x:v>189</x:v>
      </x:c>
      <x:c r="B191" s="7" t="str">
        <x:v>文星程</x:v>
      </x:c>
      <x:c r="C191" s="7" t="str">
        <x:v>数学与应用数学2603班</x:v>
      </x:c>
      <x:c r="D191" s="7" t="str">
        <x:v>202611689</x:v>
      </x:c>
      <x:c r="E191" s="24" t="n">
        <x:f>MAX(0,1-F191)</x:f>
        <x:v>1</x:v>
      </x:c>
      <x:c r="F191" s="25" t="n">
        <x:f>MIN(1,(G191+H191)/1)</x:f>
        <x:v>0</x:v>
      </x:c>
      <x:c r="G191" s="11" t="n">
        <x:v>0</x:v>
      </x:c>
      <x:c r="H191" s="11" t="n">
        <x:v>0</x:v>
      </x:c>
      <x:c r="I191" s="11" t="str"/>
      <x:c r="J191" s="6" t="str"/>
    </x:row>
    <x:row r="192" ht="15.75">
      <x:c r="A192" s="7" t="n">
        <x:v>190</x:v>
      </x:c>
      <x:c r="B192" s="7" t="str">
        <x:v>雷书雅</x:v>
      </x:c>
      <x:c r="C192" s="7" t="str">
        <x:v>数学与应用数学2603班</x:v>
      </x:c>
      <x:c r="D192" s="7" t="str">
        <x:v>202611717</x:v>
      </x:c>
      <x:c r="E192" s="24" t="n">
        <x:f>MAX(0,1-F192)</x:f>
        <x:v>1</x:v>
      </x:c>
      <x:c r="F192" s="25" t="n">
        <x:f>MIN(1,(G192+H192)/1)</x:f>
        <x:v>0</x:v>
      </x:c>
      <x:c r="G192" s="11" t="n">
        <x:v>0</x:v>
      </x:c>
      <x:c r="H192" s="11" t="n">
        <x:v>0</x:v>
      </x:c>
      <x:c r="I192" s="12" t="str"/>
      <x:c r="J192" s="6" t="str"/>
    </x:row>
    <x:row r="193" ht="15.75">
      <x:c r="A193" s="7" t="n">
        <x:v>191</x:v>
      </x:c>
      <x:c r="B193" s="7" t="str">
        <x:v>梁铭达</x:v>
      </x:c>
      <x:c r="C193" s="7" t="str">
        <x:v>数学与应用数学2603班</x:v>
      </x:c>
      <x:c r="D193" s="7" t="str">
        <x:v>202611832</x:v>
      </x:c>
      <x:c r="E193" s="24" t="n">
        <x:f>MAX(0,1-F193)</x:f>
        <x:v>1</x:v>
      </x:c>
      <x:c r="F193" s="25" t="n">
        <x:f>MIN(1,(G193+H193)/1)</x:f>
        <x:v>0</x:v>
      </x:c>
      <x:c r="G193" s="11" t="n">
        <x:v>0</x:v>
      </x:c>
      <x:c r="H193" s="11" t="n">
        <x:v>0</x:v>
      </x:c>
      <x:c r="I193" s="11" t="str"/>
      <x:c r="J193" s="6" t="str"/>
    </x:row>
    <x:row r="194" ht="15.75">
      <x:c r="A194" s="7" t="n">
        <x:v>192</x:v>
      </x:c>
      <x:c r="B194" s="7" t="str">
        <x:v>陈俊灼</x:v>
      </x:c>
      <x:c r="C194" s="7" t="str">
        <x:v>数学与应用数学2603班</x:v>
      </x:c>
      <x:c r="D194" s="7" t="str">
        <x:v>202612009</x:v>
      </x:c>
      <x:c r="E194" s="24" t="n">
        <x:f>MAX(0,1-F194)</x:f>
        <x:v>1</x:v>
      </x:c>
      <x:c r="F194" s="25" t="n">
        <x:f>MIN(1,(G194+H194)/1)</x:f>
        <x:v>0</x:v>
      </x:c>
      <x:c r="G194" s="11" t="n">
        <x:v>0</x:v>
      </x:c>
      <x:c r="H194" s="11" t="n">
        <x:v>0</x:v>
      </x:c>
      <x:c r="I194" s="11" t="str"/>
      <x:c r="J194" s="6" t="str"/>
    </x:row>
    <x:row r="195" ht="15.75">
      <x:c r="A195" s="7" t="n">
        <x:v>193</x:v>
      </x:c>
      <x:c r="B195" s="7" t="str">
        <x:v>胡嘉禾</x:v>
      </x:c>
      <x:c r="C195" s="7" t="str">
        <x:v>数学与应用数学2603班</x:v>
      </x:c>
      <x:c r="D195" s="7" t="str">
        <x:v>202612334</x:v>
      </x:c>
      <x:c r="E195" s="24" t="n">
        <x:f>MAX(0,1-F195)</x:f>
        <x:v>1</x:v>
      </x:c>
      <x:c r="F195" s="25" t="n">
        <x:f>MIN(1,(G195+H195)/1)</x:f>
        <x:v>0</x:v>
      </x:c>
      <x:c r="G195" s="11" t="n">
        <x:v>0</x:v>
      </x:c>
      <x:c r="H195" s="11" t="n">
        <x:v>0</x:v>
      </x:c>
      <x:c r="I195" s="12" t="str"/>
      <x:c r="J195" s="6" t="str"/>
    </x:row>
    <x:row r="196" ht="15.75">
      <x:c r="A196" s="7" t="n">
        <x:v>194</x:v>
      </x:c>
      <x:c r="B196" s="7" t="str">
        <x:v>周逸轩</x:v>
      </x:c>
      <x:c r="C196" s="7" t="str">
        <x:v>数学与应用数学2603班</x:v>
      </x:c>
      <x:c r="D196" s="7" t="str">
        <x:v>202612510</x:v>
      </x:c>
      <x:c r="E196" s="24" t="n">
        <x:f>MAX(0,1-F196)</x:f>
        <x:v>1</x:v>
      </x:c>
      <x:c r="F196" s="25" t="n">
        <x:f>MIN(1,(G196+H196)/1)</x:f>
        <x:v>0</x:v>
      </x:c>
      <x:c r="G196" s="11" t="n">
        <x:v>0</x:v>
      </x:c>
      <x:c r="H196" s="11" t="n">
        <x:v>0</x:v>
      </x:c>
      <x:c r="I196" s="11" t="str"/>
      <x:c r="J196" s="6" t="str"/>
    </x:row>
    <x:row r="197" ht="15.75">
      <x:c r="A197" s="7" t="n">
        <x:v>195</x:v>
      </x:c>
      <x:c r="B197" s="7" t="str">
        <x:v>穆佳欣</x:v>
      </x:c>
      <x:c r="C197" s="7" t="str">
        <x:v>数学与应用数学2603班</x:v>
      </x:c>
      <x:c r="D197" s="7" t="str">
        <x:v>202612638</x:v>
      </x:c>
      <x:c r="E197" s="24" t="n">
        <x:f>MAX(0,1-F197)</x:f>
        <x:v>1</x:v>
      </x:c>
      <x:c r="F197" s="25" t="n">
        <x:f>MIN(1,(G197+H197)/1)</x:f>
        <x:v>0</x:v>
      </x:c>
      <x:c r="G197" s="11" t="n">
        <x:v>0</x:v>
      </x:c>
      <x:c r="H197" s="11" t="n">
        <x:v>0</x:v>
      </x:c>
      <x:c r="I197" s="12" t="str"/>
      <x:c r="J197" s="6" t="str"/>
    </x:row>
    <x:row r="198" ht="15.75">
      <x:c r="A198" s="7" t="n">
        <x:v>196</x:v>
      </x:c>
      <x:c r="B198" s="7" t="str">
        <x:v>孙予行</x:v>
      </x:c>
      <x:c r="C198" s="7" t="str">
        <x:v>数学与应用数学2603班</x:v>
      </x:c>
      <x:c r="D198" s="7" t="str">
        <x:v>202612856</x:v>
      </x:c>
      <x:c r="E198" s="24" t="n">
        <x:f>MAX(0,1-F198)</x:f>
        <x:v>1</x:v>
      </x:c>
      <x:c r="F198" s="25" t="n">
        <x:f>MIN(1,(G198+H198)/1)</x:f>
        <x:v>0</x:v>
      </x:c>
      <x:c r="G198" s="11" t="n">
        <x:v>0</x:v>
      </x:c>
      <x:c r="H198" s="11" t="n">
        <x:v>0</x:v>
      </x:c>
      <x:c r="I198" s="12" t="str"/>
      <x:c r="J198" s="6" t="str"/>
    </x:row>
    <x:row r="199" ht="15.75">
      <x:c r="A199" s="7" t="n">
        <x:v>197</x:v>
      </x:c>
      <x:c r="B199" s="7" t="str">
        <x:v>刘意昂</x:v>
      </x:c>
      <x:c r="C199" s="7" t="str">
        <x:v>数学与应用数学2603班</x:v>
      </x:c>
      <x:c r="D199" s="7" t="str">
        <x:v>202612897</x:v>
      </x:c>
      <x:c r="E199" s="24" t="n">
        <x:f>MAX(0,1-F199)</x:f>
        <x:v>1</x:v>
      </x:c>
      <x:c r="F199" s="25" t="n">
        <x:f>MIN(1,(G199+H199)/1)</x:f>
        <x:v>0</x:v>
      </x:c>
      <x:c r="G199" s="11" t="n">
        <x:v>0</x:v>
      </x:c>
      <x:c r="H199" s="11" t="n">
        <x:v>0</x:v>
      </x:c>
      <x:c r="I199" s="12" t="str"/>
      <x:c r="J199" s="6" t="str"/>
    </x:row>
    <x:row r="200" ht="15.75">
      <x:c r="A200" s="7" t="n">
        <x:v>198</x:v>
      </x:c>
      <x:c r="B200" s="7" t="str">
        <x:v>刘子墨</x:v>
      </x:c>
      <x:c r="C200" s="7" t="str">
        <x:v>数学与应用数学2603班</x:v>
      </x:c>
      <x:c r="D200" s="7" t="str">
        <x:v>202612953</x:v>
      </x:c>
      <x:c r="E200" s="24" t="n">
        <x:f>MAX(0,1-F200)</x:f>
        <x:v>1</x:v>
      </x:c>
      <x:c r="F200" s="25" t="n">
        <x:f>MIN(1,(G200+H200)/1)</x:f>
        <x:v>0</x:v>
      </x:c>
      <x:c r="G200" s="11" t="n">
        <x:v>0</x:v>
      </x:c>
      <x:c r="H200" s="11" t="n">
        <x:v>0</x:v>
      </x:c>
      <x:c r="I200" s="11" t="str"/>
      <x:c r="J200" s="6" t="str"/>
    </x:row>
    <x:row r="201" ht="15.75">
      <x:c r="A201" s="7" t="n">
        <x:v>199</x:v>
      </x:c>
      <x:c r="B201" s="7" t="str">
        <x:v>刘子辰</x:v>
      </x:c>
      <x:c r="C201" s="7" t="str">
        <x:v>数学与应用数学2603班</x:v>
      </x:c>
      <x:c r="D201" s="7" t="str">
        <x:v>202612975</x:v>
      </x:c>
      <x:c r="E201" s="24" t="n">
        <x:f>MAX(0,1-F201)</x:f>
        <x:v>1</x:v>
      </x:c>
      <x:c r="F201" s="25" t="n">
        <x:f>MIN(1,(G201+H201)/1)</x:f>
        <x:v>0</x:v>
      </x:c>
      <x:c r="G201" s="11" t="n">
        <x:v>0</x:v>
      </x:c>
      <x:c r="H201" s="11" t="n">
        <x:v>0</x:v>
      </x:c>
      <x:c r="I201" s="11" t="str"/>
      <x:c r="J201" s="6" t="str"/>
    </x:row>
    <x:row r="202" ht="27">
      <x:c r="A202" s="7" t="n">
        <x:v>200</x:v>
      </x:c>
      <x:c r="B202" s="7" t="str">
        <x:v>潘映熹</x:v>
      </x:c>
      <x:c r="C202" s="7" t="str">
        <x:v>数学与应用数学2604班</x:v>
      </x:c>
      <x:c r="D202" s="7" t="str">
        <x:v>202610032</x:v>
      </x:c>
      <x:c r="E202" s="24" t="n">
        <x:f>MAX(0,1-F202)</x:f>
        <x:v>1</x:v>
      </x:c>
      <x:c r="F202" s="25" t="n">
        <x:f>MIN(1,(G202+H202)/1)</x:f>
        <x:v>0</x:v>
      </x:c>
      <x:c r="G202" s="11" t="n">
        <x:v>0</x:v>
      </x:c>
      <x:c r="H202" s="11" t="n">
        <x:v>0</x:v>
      </x:c>
      <x:c r="I202" s="18" t="str"/>
      <x:c r="J202" s="6" t="str"/>
    </x:row>
    <x:row r="203" ht="15.75">
      <x:c r="A203" s="7" t="n">
        <x:v>201</x:v>
      </x:c>
      <x:c r="B203" s="7" t="str">
        <x:v>邢展睿</x:v>
      </x:c>
      <x:c r="C203" s="7" t="str">
        <x:v>数学与应用数学2604班</x:v>
      </x:c>
      <x:c r="D203" s="7" t="str">
        <x:v>202610039</x:v>
      </x:c>
      <x:c r="E203" s="24" t="n">
        <x:f>MAX(0,1-F203)</x:f>
        <x:v>1</x:v>
      </x:c>
      <x:c r="F203" s="25" t="n">
        <x:f>MIN(1,(G203+H203)/1)</x:f>
        <x:v>0</x:v>
      </x:c>
      <x:c r="G203" s="11" t="n">
        <x:v>0</x:v>
      </x:c>
      <x:c r="H203" s="11" t="n">
        <x:v>0</x:v>
      </x:c>
      <x:c r="I203" s="11" t="str"/>
      <x:c r="J203" s="6" t="str"/>
    </x:row>
    <x:row r="204" ht="15.75">
      <x:c r="A204" s="7" t="n">
        <x:v>202</x:v>
      </x:c>
      <x:c r="B204" s="7" t="str">
        <x:v>王诗怡</x:v>
      </x:c>
      <x:c r="C204" s="7" t="str">
        <x:v>数学与应用数学2604班</x:v>
      </x:c>
      <x:c r="D204" s="7" t="str">
        <x:v>202610122</x:v>
      </x:c>
      <x:c r="E204" s="24" t="n">
        <x:f>MAX(0,1-F204)</x:f>
        <x:v>1</x:v>
      </x:c>
      <x:c r="F204" s="25" t="n">
        <x:f>MIN(1,(G204+H204)/1)</x:f>
        <x:v>0</x:v>
      </x:c>
      <x:c r="G204" s="11" t="n">
        <x:v>0</x:v>
      </x:c>
      <x:c r="H204" s="11" t="n">
        <x:v>0</x:v>
      </x:c>
      <x:c r="I204" s="11" t="str"/>
      <x:c r="J204" s="6" t="str"/>
    </x:row>
    <x:row r="205" ht="15.75">
      <x:c r="A205" s="7" t="n">
        <x:v>203</x:v>
      </x:c>
      <x:c r="B205" s="7" t="str">
        <x:v>赵梓睿</x:v>
      </x:c>
      <x:c r="C205" s="7" t="str">
        <x:v>数学与应用数学2604班</x:v>
      </x:c>
      <x:c r="D205" s="7" t="str">
        <x:v>202610238</x:v>
      </x:c>
      <x:c r="E205" s="24" t="n">
        <x:f>MAX(0,1-F205)</x:f>
        <x:v>1</x:v>
      </x:c>
      <x:c r="F205" s="25" t="n">
        <x:f>MIN(1,(G205+H205)/1)</x:f>
        <x:v>0</x:v>
      </x:c>
      <x:c r="G205" s="11" t="n">
        <x:v>0</x:v>
      </x:c>
      <x:c r="H205" s="11" t="n">
        <x:v>0</x:v>
      </x:c>
      <x:c r="I205" s="11" t="str"/>
      <x:c r="J205" s="6" t="str"/>
    </x:row>
    <x:row r="206" ht="15.75">
      <x:c r="A206" s="7" t="n">
        <x:v>204</x:v>
      </x:c>
      <x:c r="B206" s="7" t="str">
        <x:v>温若彤</x:v>
      </x:c>
      <x:c r="C206" s="7" t="str">
        <x:v>数学与应用数学2604班</x:v>
      </x:c>
      <x:c r="D206" s="7" t="str">
        <x:v>202610332</x:v>
      </x:c>
      <x:c r="E206" s="24" t="n">
        <x:f>MAX(0,1-F206)</x:f>
        <x:v>1</x:v>
      </x:c>
      <x:c r="F206" s="25" t="n">
        <x:f>MIN(1,(G206+H206)/1)</x:f>
        <x:v>0</x:v>
      </x:c>
      <x:c r="G206" s="11" t="n">
        <x:v>0</x:v>
      </x:c>
      <x:c r="H206" s="11" t="n">
        <x:v>0</x:v>
      </x:c>
      <x:c r="I206" s="12" t="str"/>
      <x:c r="J206" s="6" t="str"/>
    </x:row>
    <x:row r="207" ht="15.75">
      <x:c r="A207" s="7" t="n">
        <x:v>205</x:v>
      </x:c>
      <x:c r="B207" s="7" t="str">
        <x:v>祝嘉晟</x:v>
      </x:c>
      <x:c r="C207" s="7" t="str">
        <x:v>数学与应用数学2604班</x:v>
      </x:c>
      <x:c r="D207" s="7" t="str">
        <x:v>202610406</x:v>
      </x:c>
      <x:c r="E207" s="24" t="n">
        <x:f>MAX(0,1-F207)</x:f>
        <x:v>1</x:v>
      </x:c>
      <x:c r="F207" s="25" t="n">
        <x:f>MIN(1,(G207+H207)/1)</x:f>
        <x:v>0</x:v>
      </x:c>
      <x:c r="G207" s="11" t="n">
        <x:v>0</x:v>
      </x:c>
      <x:c r="H207" s="11" t="n">
        <x:v>0</x:v>
      </x:c>
      <x:c r="I207" s="11" t="str"/>
      <x:c r="J207" s="6" t="str"/>
    </x:row>
    <x:row r="208" ht="15.75">
      <x:c r="A208" s="7" t="n">
        <x:v>206</x:v>
      </x:c>
      <x:c r="B208" s="7" t="str">
        <x:v>陈镜好</x:v>
      </x:c>
      <x:c r="C208" s="7" t="str">
        <x:v>数学与应用数学2604班</x:v>
      </x:c>
      <x:c r="D208" s="7" t="str">
        <x:v>202610450</x:v>
      </x:c>
      <x:c r="E208" s="24" t="n">
        <x:f>MAX(0,1-F208)</x:f>
        <x:v>1</x:v>
      </x:c>
      <x:c r="F208" s="25" t="n">
        <x:f>MIN(1,(G208+H208)/1)</x:f>
        <x:v>0</x:v>
      </x:c>
      <x:c r="G208" s="11" t="n">
        <x:v>0</x:v>
      </x:c>
      <x:c r="H208" s="11" t="n">
        <x:v>0</x:v>
      </x:c>
      <x:c r="I208" s="12" t="str"/>
      <x:c r="J208" s="6" t="str"/>
    </x:row>
    <x:row r="209" ht="15.75">
      <x:c r="A209" s="7" t="n">
        <x:v>207</x:v>
      </x:c>
      <x:c r="B209" s="7" t="str">
        <x:v>黄选鸣</x:v>
      </x:c>
      <x:c r="C209" s="7" t="str">
        <x:v>数学与应用数学2604班</x:v>
      </x:c>
      <x:c r="D209" s="7" t="str">
        <x:v>202610715</x:v>
      </x:c>
      <x:c r="E209" s="24" t="n">
        <x:f>MAX(0,1-F209)</x:f>
        <x:v>1</x:v>
      </x:c>
      <x:c r="F209" s="25" t="n">
        <x:f>MIN(1,(G209+H209)/1)</x:f>
        <x:v>0</x:v>
      </x:c>
      <x:c r="G209" s="11" t="n">
        <x:v>0</x:v>
      </x:c>
      <x:c r="H209" s="11" t="n">
        <x:v>0</x:v>
      </x:c>
      <x:c r="I209" s="11" t="str"/>
      <x:c r="J209" s="6" t="str"/>
    </x:row>
    <x:row r="210" ht="15.75">
      <x:c r="A210" s="7" t="n">
        <x:v>208</x:v>
      </x:c>
      <x:c r="B210" s="7" t="str">
        <x:v>齐乙瑶</x:v>
      </x:c>
      <x:c r="C210" s="7" t="str">
        <x:v>数学与应用数学2604班</x:v>
      </x:c>
      <x:c r="D210" s="7" t="str">
        <x:v>202610736</x:v>
      </x:c>
      <x:c r="E210" s="24" t="n">
        <x:f>MAX(0,1-F210)</x:f>
        <x:v>1</x:v>
      </x:c>
      <x:c r="F210" s="25" t="n">
        <x:f>MIN(1,(G210+H210)/1)</x:f>
        <x:v>0</x:v>
      </x:c>
      <x:c r="G210" s="11" t="n">
        <x:v>0</x:v>
      </x:c>
      <x:c r="H210" s="11" t="n">
        <x:v>0</x:v>
      </x:c>
      <x:c r="I210" s="11" t="str"/>
      <x:c r="J210" s="6" t="str"/>
    </x:row>
    <x:row r="211" ht="15.75">
      <x:c r="A211" s="7" t="n">
        <x:v>209</x:v>
      </x:c>
      <x:c r="B211" s="7" t="str">
        <x:v>杨铭家</x:v>
      </x:c>
      <x:c r="C211" s="7" t="str">
        <x:v>数学与应用数学2604班</x:v>
      </x:c>
      <x:c r="D211" s="7" t="str">
        <x:v>202610960</x:v>
      </x:c>
      <x:c r="E211" s="24" t="n">
        <x:f>MAX(0,1-F211)</x:f>
        <x:v>1</x:v>
      </x:c>
      <x:c r="F211" s="25" t="n">
        <x:f>MIN(1,(G211+H211)/1)</x:f>
        <x:v>0</x:v>
      </x:c>
      <x:c r="G211" s="11" t="n">
        <x:v>0</x:v>
      </x:c>
      <x:c r="H211" s="11" t="n">
        <x:v>0</x:v>
      </x:c>
      <x:c r="I211" s="11" t="str"/>
      <x:c r="J211" s="6" t="str"/>
    </x:row>
    <x:row r="212" ht="15.75">
      <x:c r="A212" s="7" t="n">
        <x:v>210</x:v>
      </x:c>
      <x:c r="B212" s="7" t="str">
        <x:v>郑信涵</x:v>
      </x:c>
      <x:c r="C212" s="7" t="str">
        <x:v>数学与应用数学2604班</x:v>
      </x:c>
      <x:c r="D212" s="7" t="str">
        <x:v>202610970</x:v>
      </x:c>
      <x:c r="E212" s="24" t="n">
        <x:f>MAX(0,1-F212)</x:f>
        <x:v>1</x:v>
      </x:c>
      <x:c r="F212" s="25" t="n">
        <x:f>MIN(1,(G212+H212)/1)</x:f>
        <x:v>0</x:v>
      </x:c>
      <x:c r="G212" s="11" t="n">
        <x:v>0</x:v>
      </x:c>
      <x:c r="H212" s="11" t="n">
        <x:v>0</x:v>
      </x:c>
      <x:c r="I212" s="11" t="str"/>
      <x:c r="J212" s="6" t="str"/>
    </x:row>
    <x:row r="213" ht="15.75">
      <x:c r="A213" s="7" t="n">
        <x:v>211</x:v>
      </x:c>
      <x:c r="B213" s="7" t="str">
        <x:v>郑泽楷</x:v>
      </x:c>
      <x:c r="C213" s="7" t="str">
        <x:v>数学与应用数学2604班</x:v>
      </x:c>
      <x:c r="D213" s="7" t="str">
        <x:v>202611081</x:v>
      </x:c>
      <x:c r="E213" s="24" t="n">
        <x:f>MAX(0,1-F213)</x:f>
        <x:v>1</x:v>
      </x:c>
      <x:c r="F213" s="25" t="n">
        <x:f>MIN(1,(G213+H213)/1)</x:f>
        <x:v>0</x:v>
      </x:c>
      <x:c r="G213" s="11" t="n">
        <x:v>0</x:v>
      </x:c>
      <x:c r="H213" s="11" t="n">
        <x:v>0</x:v>
      </x:c>
      <x:c r="I213" s="11" t="str"/>
      <x:c r="J213" s="6" t="str"/>
    </x:row>
    <x:row r="214" ht="15.75">
      <x:c r="A214" s="7" t="n">
        <x:v>212</x:v>
      </x:c>
      <x:c r="B214" s="7" t="str">
        <x:v>王煜文</x:v>
      </x:c>
      <x:c r="C214" s="7" t="str">
        <x:v>数学与应用数学2604班</x:v>
      </x:c>
      <x:c r="D214" s="7" t="str">
        <x:v>202611121</x:v>
      </x:c>
      <x:c r="E214" s="24" t="n">
        <x:f>MAX(0,1-F214)</x:f>
        <x:v>1</x:v>
      </x:c>
      <x:c r="F214" s="25" t="n">
        <x:f>MIN(1,(G214+H214)/1)</x:f>
        <x:v>0</x:v>
      </x:c>
      <x:c r="G214" s="11" t="n">
        <x:v>0</x:v>
      </x:c>
      <x:c r="H214" s="11" t="n">
        <x:v>0</x:v>
      </x:c>
      <x:c r="I214" s="11" t="str"/>
      <x:c r="J214" s="6" t="str"/>
    </x:row>
    <x:row r="215" ht="15.75">
      <x:c r="A215" s="7" t="n">
        <x:v>213</x:v>
      </x:c>
      <x:c r="B215" s="7" t="str">
        <x:v>赵汝霖</x:v>
      </x:c>
      <x:c r="C215" s="7" t="str">
        <x:v>数学与应用数学2604班</x:v>
      </x:c>
      <x:c r="D215" s="7" t="str">
        <x:v>202611252</x:v>
      </x:c>
      <x:c r="E215" s="24" t="n">
        <x:f>MAX(0,1-F215)</x:f>
        <x:v>1</x:v>
      </x:c>
      <x:c r="F215" s="25" t="n">
        <x:f>MIN(1,(G215+H215)/1)</x:f>
        <x:v>0</x:v>
      </x:c>
      <x:c r="G215" s="11" t="n">
        <x:v>0</x:v>
      </x:c>
      <x:c r="H215" s="11" t="n">
        <x:v>0</x:v>
      </x:c>
      <x:c r="I215" s="18" t="str"/>
      <x:c r="J215" s="6" t="str"/>
    </x:row>
    <x:row r="216" ht="15.75">
      <x:c r="A216" s="7" t="n">
        <x:v>214</x:v>
      </x:c>
      <x:c r="B216" s="7" t="str">
        <x:v>孙媛媛</x:v>
      </x:c>
      <x:c r="C216" s="7" t="str">
        <x:v>数学与应用数学2604班</x:v>
      </x:c>
      <x:c r="D216" s="7" t="str">
        <x:v>202611294</x:v>
      </x:c>
      <x:c r="E216" s="24" t="n">
        <x:f>MAX(0,1-F216)</x:f>
        <x:v>1</x:v>
      </x:c>
      <x:c r="F216" s="25" t="n">
        <x:f>MIN(1,(G216+H216)/1)</x:f>
        <x:v>0</x:v>
      </x:c>
      <x:c r="G216" s="11" t="n">
        <x:v>0</x:v>
      </x:c>
      <x:c r="H216" s="11" t="n">
        <x:v>0</x:v>
      </x:c>
      <x:c r="I216" s="11" t="str"/>
      <x:c r="J216" s="6" t="str"/>
    </x:row>
    <x:row r="217" ht="15.75">
      <x:c r="A217" s="7" t="n">
        <x:v>215</x:v>
      </x:c>
      <x:c r="B217" s="7" t="str">
        <x:v>杨英祖</x:v>
      </x:c>
      <x:c r="C217" s="7" t="str">
        <x:v>数学与应用数学2604班</x:v>
      </x:c>
      <x:c r="D217" s="7" t="str">
        <x:v>202611319</x:v>
      </x:c>
      <x:c r="E217" s="24" t="n">
        <x:f>MAX(0,1-F217)</x:f>
        <x:v>1</x:v>
      </x:c>
      <x:c r="F217" s="25" t="n">
        <x:f>MIN(1,(G217+H217)/1)</x:f>
        <x:v>0</x:v>
      </x:c>
      <x:c r="G217" s="11" t="n">
        <x:v>0</x:v>
      </x:c>
      <x:c r="H217" s="11" t="n">
        <x:v>0</x:v>
      </x:c>
      <x:c r="I217" s="11" t="str"/>
      <x:c r="J217" s="6" t="str"/>
    </x:row>
    <x:row r="218" ht="15.75">
      <x:c r="A218" s="7" t="n">
        <x:v>216</x:v>
      </x:c>
      <x:c r="B218" s="7" t="str">
        <x:v>白津果</x:v>
      </x:c>
      <x:c r="C218" s="7" t="str">
        <x:v>数学与应用数学2604班</x:v>
      </x:c>
      <x:c r="D218" s="7" t="str">
        <x:v>202611532</x:v>
      </x:c>
      <x:c r="E218" s="24" t="n">
        <x:f>MAX(0,1-F218)</x:f>
        <x:v>1</x:v>
      </x:c>
      <x:c r="F218" s="25" t="n">
        <x:f>MIN(1,(G218+H218)/1)</x:f>
        <x:v>0</x:v>
      </x:c>
      <x:c r="G218" s="11" t="n">
        <x:v>0</x:v>
      </x:c>
      <x:c r="H218" s="11" t="n">
        <x:v>0</x:v>
      </x:c>
      <x:c r="I218" s="11" t="str"/>
      <x:c r="J218" s="6" t="str"/>
    </x:row>
    <x:row r="219" ht="15.75">
      <x:c r="A219" s="7" t="n">
        <x:v>217</x:v>
      </x:c>
      <x:c r="B219" s="7" t="str">
        <x:v>李译航</x:v>
      </x:c>
      <x:c r="C219" s="7" t="str">
        <x:v>数学与应用数学2604班</x:v>
      </x:c>
      <x:c r="D219" s="7" t="str">
        <x:v>202611556</x:v>
      </x:c>
      <x:c r="E219" s="24" t="n">
        <x:f>MAX(0,1-F219)</x:f>
        <x:v>1</x:v>
      </x:c>
      <x:c r="F219" s="25" t="n">
        <x:f>MIN(1,(G219+H219)/1)</x:f>
        <x:v>0</x:v>
      </x:c>
      <x:c r="G219" s="11" t="n">
        <x:v>0</x:v>
      </x:c>
      <x:c r="H219" s="11" t="n">
        <x:v>0</x:v>
      </x:c>
      <x:c r="I219" s="11" t="str"/>
      <x:c r="J219" s="6" t="str"/>
    </x:row>
    <x:row r="220" ht="15.75">
      <x:c r="A220" s="7" t="n">
        <x:v>218</x:v>
      </x:c>
      <x:c r="B220" s="7" t="str">
        <x:v>石翰予</x:v>
      </x:c>
      <x:c r="C220" s="7" t="str">
        <x:v>数学与应用数学2604班</x:v>
      </x:c>
      <x:c r="D220" s="7" t="str">
        <x:v>202611669</x:v>
      </x:c>
      <x:c r="E220" s="24" t="n">
        <x:f>MAX(0,1-F220)</x:f>
        <x:v>1</x:v>
      </x:c>
      <x:c r="F220" s="25" t="n">
        <x:f>MIN(1,(G220+H220)/1)</x:f>
        <x:v>0</x:v>
      </x:c>
      <x:c r="G220" s="11" t="n">
        <x:v>0</x:v>
      </x:c>
      <x:c r="H220" s="11" t="n">
        <x:v>0</x:v>
      </x:c>
      <x:c r="I220" s="11" t="str"/>
      <x:c r="J220" s="6" t="str"/>
    </x:row>
    <x:row r="221" ht="15.75">
      <x:c r="A221" s="7" t="n">
        <x:v>219</x:v>
      </x:c>
      <x:c r="B221" s="7" t="str">
        <x:v>郑佳钰</x:v>
      </x:c>
      <x:c r="C221" s="7" t="str">
        <x:v>数学与应用数学2604班</x:v>
      </x:c>
      <x:c r="D221" s="7" t="str">
        <x:v>202611794</x:v>
      </x:c>
      <x:c r="E221" s="24" t="n">
        <x:f>MAX(0,1-F221)</x:f>
        <x:v>1</x:v>
      </x:c>
      <x:c r="F221" s="25" t="n">
        <x:f>MIN(1,(G221+H221)/1)</x:f>
        <x:v>0</x:v>
      </x:c>
      <x:c r="G221" s="11" t="n">
        <x:v>0</x:v>
      </x:c>
      <x:c r="H221" s="11" t="n">
        <x:v>0</x:v>
      </x:c>
      <x:c r="I221" s="11" t="str"/>
      <x:c r="J221" s="6" t="str"/>
    </x:row>
    <x:row r="222" ht="15.75">
      <x:c r="A222" s="7" t="n">
        <x:v>220</x:v>
      </x:c>
      <x:c r="B222" s="7" t="str">
        <x:v>刘楷睿</x:v>
      </x:c>
      <x:c r="C222" s="7" t="str">
        <x:v>数学与应用数学2604班</x:v>
      </x:c>
      <x:c r="D222" s="7" t="str">
        <x:v>202611846</x:v>
      </x:c>
      <x:c r="E222" s="24" t="n">
        <x:f>MAX(0,1-F222)</x:f>
        <x:v>1</x:v>
      </x:c>
      <x:c r="F222" s="25" t="n">
        <x:f>MIN(1,(G222+H222)/1)</x:f>
        <x:v>0</x:v>
      </x:c>
      <x:c r="G222" s="11" t="n">
        <x:v>0</x:v>
      </x:c>
      <x:c r="H222" s="11" t="n">
        <x:v>0</x:v>
      </x:c>
      <x:c r="I222" s="19" t="str"/>
      <x:c r="J222" s="6" t="str"/>
    </x:row>
    <x:row r="223" ht="15.75">
      <x:c r="A223" s="7" t="n">
        <x:v>221</x:v>
      </x:c>
      <x:c r="B223" s="7" t="str">
        <x:v>丁笑朵</x:v>
      </x:c>
      <x:c r="C223" s="7" t="str">
        <x:v>数学与应用数学2604班</x:v>
      </x:c>
      <x:c r="D223" s="7" t="str">
        <x:v>202612343</x:v>
      </x:c>
      <x:c r="E223" s="24" t="n">
        <x:f>MAX(0,1-F223)</x:f>
        <x:v>1</x:v>
      </x:c>
      <x:c r="F223" s="25" t="n">
        <x:f>MIN(1,(G223+H223)/1)</x:f>
        <x:v>0</x:v>
      </x:c>
      <x:c r="G223" s="11" t="n">
        <x:v>0</x:v>
      </x:c>
      <x:c r="H223" s="11" t="n">
        <x:v>0</x:v>
      </x:c>
      <x:c r="I223" s="11" t="str"/>
      <x:c r="J223" s="6" t="str"/>
    </x:row>
    <x:row r="224" ht="15.75">
      <x:c r="A224" s="7" t="n">
        <x:v>222</x:v>
      </x:c>
      <x:c r="B224" s="7" t="str">
        <x:v>伍侠</x:v>
      </x:c>
      <x:c r="C224" s="7" t="str">
        <x:v>数学与应用数学2604班</x:v>
      </x:c>
      <x:c r="D224" s="7" t="str">
        <x:v>202612345</x:v>
      </x:c>
      <x:c r="E224" s="24" t="n">
        <x:f>MAX(0,1-F224)</x:f>
        <x:v>1</x:v>
      </x:c>
      <x:c r="F224" s="25" t="n">
        <x:f>MIN(1,(G224+H224)/1)</x:f>
        <x:v>0</x:v>
      </x:c>
      <x:c r="G224" s="11" t="n">
        <x:v>0</x:v>
      </x:c>
      <x:c r="H224" s="11" t="n">
        <x:v>0</x:v>
      </x:c>
      <x:c r="I224" s="11" t="str"/>
      <x:c r="J224" s="6" t="str"/>
    </x:row>
    <x:row r="225" ht="15.75">
      <x:c r="A225" s="7" t="n">
        <x:v>223</x:v>
      </x:c>
      <x:c r="B225" s="7" t="str">
        <x:v>刘涵予</x:v>
      </x:c>
      <x:c r="C225" s="7" t="str">
        <x:v>数学与应用数学2604班</x:v>
      </x:c>
      <x:c r="D225" s="7" t="str">
        <x:v>202612528</x:v>
      </x:c>
      <x:c r="E225" s="24" t="n">
        <x:f>MAX(0,1-F225)</x:f>
        <x:v>1</x:v>
      </x:c>
      <x:c r="F225" s="25" t="n">
        <x:f>MIN(1,(G225+H225)/1)</x:f>
        <x:v>0</x:v>
      </x:c>
      <x:c r="G225" s="11" t="n">
        <x:v>0</x:v>
      </x:c>
      <x:c r="H225" s="11" t="n">
        <x:v>0</x:v>
      </x:c>
      <x:c r="I225" s="12" t="str"/>
      <x:c r="J225" s="6" t="str"/>
    </x:row>
    <x:row r="226" ht="15.75">
      <x:c r="A226" s="7" t="n">
        <x:v>224</x:v>
      </x:c>
      <x:c r="B226" s="7" t="str">
        <x:v>郭芙瑶</x:v>
      </x:c>
      <x:c r="C226" s="7" t="str">
        <x:v>数学与应用数学2604班</x:v>
      </x:c>
      <x:c r="D226" s="7" t="str">
        <x:v>202612639</x:v>
      </x:c>
      <x:c r="E226" s="24" t="n">
        <x:f>MAX(0,1-F226)</x:f>
        <x:v>1</x:v>
      </x:c>
      <x:c r="F226" s="25" t="n">
        <x:f>MIN(1,(G226+H226)/1)</x:f>
        <x:v>0</x:v>
      </x:c>
      <x:c r="G226" s="11" t="n">
        <x:v>0</x:v>
      </x:c>
      <x:c r="H226" s="11" t="n">
        <x:v>0</x:v>
      </x:c>
      <x:c r="I226" s="11" t="str"/>
      <x:c r="J226" s="6" t="str"/>
    </x:row>
    <x:row r="227" ht="15.75">
      <x:c r="A227" s="7" t="n">
        <x:v>225</x:v>
      </x:c>
      <x:c r="B227" s="7" t="str">
        <x:v>洪利民</x:v>
      </x:c>
      <x:c r="C227" s="7" t="str">
        <x:v>数学与应用数学2604班</x:v>
      </x:c>
      <x:c r="D227" s="7" t="str">
        <x:v>202612851</x:v>
      </x:c>
      <x:c r="E227" s="24" t="n">
        <x:f>MAX(0,1-F227)</x:f>
        <x:v>1</x:v>
      </x:c>
      <x:c r="F227" s="25" t="n">
        <x:f>MIN(1,(G227+H227)/1)</x:f>
        <x:v>0</x:v>
      </x:c>
      <x:c r="G227" s="11" t="n">
        <x:v>0</x:v>
      </x:c>
      <x:c r="H227" s="11" t="n">
        <x:v>0</x:v>
      </x:c>
      <x:c r="I227" s="12" t="str"/>
      <x:c r="J227" s="6" t="str"/>
    </x:row>
    <x:row r="228" ht="40.5">
      <x:c r="A228" s="7" t="n">
        <x:v>226</x:v>
      </x:c>
      <x:c r="B228" s="7" t="str">
        <x:v>顾圆希</x:v>
      </x:c>
      <x:c r="C228" s="7" t="str">
        <x:v>数学与应用数学2604班</x:v>
      </x:c>
      <x:c r="D228" s="7" t="str">
        <x:v>202612869</x:v>
      </x:c>
      <x:c r="E228" s="24" t="n">
        <x:f>MAX(0,1-F228)</x:f>
        <x:v>1</x:v>
      </x:c>
      <x:c r="F228" s="25" t="n">
        <x:f>MIN(1,(G228+H228)/1)</x:f>
        <x:v>0</x:v>
      </x:c>
      <x:c r="G228" s="11" t="n">
        <x:v>0</x:v>
      </x:c>
      <x:c r="H228" s="11" t="n">
        <x:v>0</x:v>
      </x:c>
      <x:c r="I228" s="18" t="str"/>
      <x:c r="J228" s="6" t="str"/>
    </x:row>
    <x:row r="229" ht="40.5">
      <x:c r="A229" s="7" t="n">
        <x:v>227</x:v>
      </x:c>
      <x:c r="B229" s="7" t="str">
        <x:v>戴世尧</x:v>
      </x:c>
      <x:c r="C229" s="7" t="str">
        <x:v>数学与应用数学2604班</x:v>
      </x:c>
      <x:c r="D229" s="7" t="str">
        <x:v>202612907</x:v>
      </x:c>
      <x:c r="E229" s="24" t="n">
        <x:f>MAX(0,1-F229)</x:f>
        <x:v>1</x:v>
      </x:c>
      <x:c r="F229" s="25" t="n">
        <x:f>MIN(1,(G229+H229)/1)</x:f>
        <x:v>0</x:v>
      </x:c>
      <x:c r="G229" s="11" t="n">
        <x:v>0</x:v>
      </x:c>
      <x:c r="H229" s="11" t="n">
        <x:v>0</x:v>
      </x:c>
      <x:c r="I229" s="18" t="str"/>
      <x:c r="J229" s="6" t="str"/>
    </x:row>
    <x:row r="230" ht="15.75">
      <x:c r="A230" s="7" t="n">
        <x:v>228</x:v>
      </x:c>
      <x:c r="B230" s="7" t="str">
        <x:v>钱皓哲</x:v>
      </x:c>
      <x:c r="C230" s="7" t="str">
        <x:v>数学与应用数学2604班</x:v>
      </x:c>
      <x:c r="D230" s="7" t="str">
        <x:v>202612958</x:v>
      </x:c>
      <x:c r="E230" s="24" t="n">
        <x:f>MAX(0,1-F230)</x:f>
        <x:v>1</x:v>
      </x:c>
      <x:c r="F230" s="25" t="n">
        <x:f>MIN(1,(G230+H230)/1)</x:f>
        <x:v>0</x:v>
      </x:c>
      <x:c r="G230" s="11" t="n">
        <x:v>0</x:v>
      </x:c>
      <x:c r="H230" s="11" t="n">
        <x:v>0</x:v>
      </x:c>
      <x:c r="I230" s="18" t="str"/>
      <x:c r="J230" s="6" t="str"/>
    </x:row>
    <x:row r="231" ht="15.75">
      <x:c r="A231" s="7" t="n">
        <x:v>229</x:v>
      </x:c>
      <x:c r="B231" s="7" t="str">
        <x:v>齐智堃</x:v>
      </x:c>
      <x:c r="C231" s="7" t="str">
        <x:v>数学与应用数学2605班</x:v>
      </x:c>
      <x:c r="D231" s="7" t="str">
        <x:v>202610009</x:v>
      </x:c>
      <x:c r="E231" s="24" t="n">
        <x:f>MAX(0,1-F231)</x:f>
        <x:v>1</x:v>
      </x:c>
      <x:c r="F231" s="25" t="n">
        <x:f>MIN(1,(G231+H231)/1)</x:f>
        <x:v>0</x:v>
      </x:c>
      <x:c r="G231" s="11" t="n">
        <x:v>0</x:v>
      </x:c>
      <x:c r="H231" s="11" t="n">
        <x:v>0</x:v>
      </x:c>
      <x:c r="I231" s="11" t="str"/>
      <x:c r="J231" s="6" t="str"/>
    </x:row>
    <x:row r="232" ht="15.75">
      <x:c r="A232" s="7" t="n">
        <x:v>230</x:v>
      </x:c>
      <x:c r="B232" s="7" t="str">
        <x:v>蔡东仑</x:v>
      </x:c>
      <x:c r="C232" s="7" t="str">
        <x:v>数学与应用数学2605班</x:v>
      </x:c>
      <x:c r="D232" s="7" t="str">
        <x:v>202610056</x:v>
      </x:c>
      <x:c r="E232" s="24" t="n">
        <x:f>MAX(0,1-F232)</x:f>
        <x:v>1</x:v>
      </x:c>
      <x:c r="F232" s="25" t="n">
        <x:f>MIN(1,(G232+H232)/1)</x:f>
        <x:v>0</x:v>
      </x:c>
      <x:c r="G232" s="11" t="n">
        <x:v>0</x:v>
      </x:c>
      <x:c r="H232" s="11" t="n">
        <x:v>0</x:v>
      </x:c>
      <x:c r="I232" s="11" t="str"/>
      <x:c r="J232" s="6" t="str"/>
    </x:row>
    <x:row r="233" ht="15.75">
      <x:c r="A233" s="7" t="n">
        <x:v>231</x:v>
      </x:c>
      <x:c r="B233" s="7" t="str">
        <x:v>张曦月</x:v>
      </x:c>
      <x:c r="C233" s="7" t="str">
        <x:v>数学与应用数学2605班</x:v>
      </x:c>
      <x:c r="D233" s="7" t="str">
        <x:v>202610141</x:v>
      </x:c>
      <x:c r="E233" s="24" t="n">
        <x:f>MAX(0,1-F233)</x:f>
        <x:v>1</x:v>
      </x:c>
      <x:c r="F233" s="25" t="n">
        <x:f>MIN(1,(G233+H233)/1)</x:f>
        <x:v>0</x:v>
      </x:c>
      <x:c r="G233" s="11" t="n">
        <x:v>0</x:v>
      </x:c>
      <x:c r="H233" s="11" t="n">
        <x:v>0</x:v>
      </x:c>
      <x:c r="I233" s="12" t="str"/>
      <x:c r="J233" s="6" t="str"/>
    </x:row>
    <x:row r="234" ht="15.75">
      <x:c r="A234" s="7" t="n">
        <x:v>232</x:v>
      </x:c>
      <x:c r="B234" s="7" t="str">
        <x:v>杨舒滨</x:v>
      </x:c>
      <x:c r="C234" s="7" t="str">
        <x:v>数学与应用数学2605班</x:v>
      </x:c>
      <x:c r="D234" s="7" t="str">
        <x:v>202610328</x:v>
      </x:c>
      <x:c r="E234" s="24" t="n">
        <x:f>MAX(0,1-F234)</x:f>
        <x:v>1</x:v>
      </x:c>
      <x:c r="F234" s="25" t="n">
        <x:f>MIN(1,(G234+H234)/1)</x:f>
        <x:v>0</x:v>
      </x:c>
      <x:c r="G234" s="11" t="n">
        <x:v>0</x:v>
      </x:c>
      <x:c r="H234" s="11" t="n">
        <x:v>0</x:v>
      </x:c>
      <x:c r="I234" s="11" t="str"/>
      <x:c r="J234" s="6" t="str"/>
    </x:row>
    <x:row r="235" ht="15.75">
      <x:c r="A235" s="7" t="n">
        <x:v>233</x:v>
      </x:c>
      <x:c r="B235" s="7" t="str">
        <x:v>李梓畅</x:v>
      </x:c>
      <x:c r="C235" s="7" t="str">
        <x:v>数学与应用数学2605班</x:v>
      </x:c>
      <x:c r="D235" s="7" t="str">
        <x:v>202610349</x:v>
      </x:c>
      <x:c r="E235" s="24" t="n">
        <x:f>MAX(0,1-F235)</x:f>
        <x:v>1</x:v>
      </x:c>
      <x:c r="F235" s="25" t="n">
        <x:f>MIN(1,(G235+H235)/1)</x:f>
        <x:v>0</x:v>
      </x:c>
      <x:c r="G235" s="11" t="n">
        <x:v>0</x:v>
      </x:c>
      <x:c r="H235" s="11" t="n">
        <x:v>0</x:v>
      </x:c>
      <x:c r="I235" s="11" t="str"/>
      <x:c r="J235" s="6" t="str"/>
    </x:row>
    <x:row r="236" ht="15.75">
      <x:c r="A236" s="7" t="n">
        <x:v>234</x:v>
      </x:c>
      <x:c r="B236" s="7" t="str">
        <x:v>金崇鹏</x:v>
      </x:c>
      <x:c r="C236" s="7" t="str">
        <x:v>数学与应用数学2605班</x:v>
      </x:c>
      <x:c r="D236" s="7" t="str">
        <x:v>202610446</x:v>
      </x:c>
      <x:c r="E236" s="24" t="n">
        <x:f>MAX(0,1-F236)</x:f>
        <x:v>1</x:v>
      </x:c>
      <x:c r="F236" s="25" t="n">
        <x:f>MIN(1,(G236+H236)/1)</x:f>
        <x:v>0</x:v>
      </x:c>
      <x:c r="G236" s="11" t="n">
        <x:v>0</x:v>
      </x:c>
      <x:c r="H236" s="11" t="n">
        <x:v>0</x:v>
      </x:c>
      <x:c r="I236" s="12" t="str"/>
      <x:c r="J236" s="6" t="str"/>
    </x:row>
    <x:row r="237" ht="15.75">
      <x:c r="A237" s="7" t="n">
        <x:v>235</x:v>
      </x:c>
      <x:c r="B237" s="7" t="str">
        <x:v>郑一诺</x:v>
      </x:c>
      <x:c r="C237" s="7" t="str">
        <x:v>数学与应用数学2605班</x:v>
      </x:c>
      <x:c r="D237" s="7" t="str">
        <x:v>202610662</x:v>
      </x:c>
      <x:c r="E237" s="24" t="n">
        <x:f>MAX(0,1-F237)</x:f>
        <x:v>1</x:v>
      </x:c>
      <x:c r="F237" s="25" t="n">
        <x:f>MIN(1,(G237+H237)/1)</x:f>
        <x:v>0</x:v>
      </x:c>
      <x:c r="G237" s="11" t="n">
        <x:v>0</x:v>
      </x:c>
      <x:c r="H237" s="11" t="n">
        <x:v>0</x:v>
      </x:c>
      <x:c r="I237" s="12" t="str"/>
      <x:c r="J237" s="6" t="str"/>
    </x:row>
    <x:row r="238" ht="15.75">
      <x:c r="A238" s="7" t="n">
        <x:v>236</x:v>
      </x:c>
      <x:c r="B238" s="7" t="str">
        <x:v>曲星杰</x:v>
      </x:c>
      <x:c r="C238" s="7" t="str">
        <x:v>数学与应用数学2605班</x:v>
      </x:c>
      <x:c r="D238" s="7" t="str">
        <x:v>202610723</x:v>
      </x:c>
      <x:c r="E238" s="24" t="n">
        <x:f>MAX(0,1-F238)</x:f>
        <x:v>1</x:v>
      </x:c>
      <x:c r="F238" s="25" t="n">
        <x:f>MIN(1,(G238+H238)/1)</x:f>
        <x:v>0</x:v>
      </x:c>
      <x:c r="G238" s="11" t="n">
        <x:v>0</x:v>
      </x:c>
      <x:c r="H238" s="11" t="n">
        <x:v>0</x:v>
      </x:c>
      <x:c r="I238" s="12" t="str"/>
      <x:c r="J238" s="6" t="str"/>
    </x:row>
    <x:row r="239" ht="15.75">
      <x:c r="A239" s="7" t="n">
        <x:v>237</x:v>
      </x:c>
      <x:c r="B239" s="7" t="str">
        <x:v>于佳宁</x:v>
      </x:c>
      <x:c r="C239" s="7" t="str">
        <x:v>数学与应用数学2605班</x:v>
      </x:c>
      <x:c r="D239" s="7" t="str">
        <x:v>202610749</x:v>
      </x:c>
      <x:c r="E239" s="24" t="n">
        <x:f>MAX(0,1-F239)</x:f>
        <x:v>1</x:v>
      </x:c>
      <x:c r="F239" s="25" t="n">
        <x:f>MIN(1,(G239+H239)/1)</x:f>
        <x:v>0</x:v>
      </x:c>
      <x:c r="G239" s="11" t="n">
        <x:v>0</x:v>
      </x:c>
      <x:c r="H239" s="11" t="n">
        <x:v>0</x:v>
      </x:c>
      <x:c r="I239" s="11" t="str"/>
      <x:c r="J239" s="6" t="str"/>
    </x:row>
    <x:row r="240" ht="15.75">
      <x:c r="A240" s="7" t="n">
        <x:v>238</x:v>
      </x:c>
      <x:c r="B240" s="7" t="str">
        <x:v>阮新皓</x:v>
      </x:c>
      <x:c r="C240" s="7" t="str">
        <x:v>数学与应用数学2605班</x:v>
      </x:c>
      <x:c r="D240" s="7" t="str">
        <x:v>202610984</x:v>
      </x:c>
      <x:c r="E240" s="24" t="n">
        <x:f>MAX(0,1-F240)</x:f>
        <x:v>1</x:v>
      </x:c>
      <x:c r="F240" s="25" t="n">
        <x:f>MIN(1,(G240+H240)/1)</x:f>
        <x:v>0</x:v>
      </x:c>
      <x:c r="G240" s="11" t="n">
        <x:v>0</x:v>
      </x:c>
      <x:c r="H240" s="11" t="n">
        <x:v>0</x:v>
      </x:c>
      <x:c r="I240" s="11" t="str"/>
      <x:c r="J240" s="6" t="str"/>
    </x:row>
    <x:row r="241" ht="15.75">
      <x:c r="A241" s="7" t="n">
        <x:v>239</x:v>
      </x:c>
      <x:c r="B241" s="7" t="str">
        <x:v>朱宇宸</x:v>
      </x:c>
      <x:c r="C241" s="7" t="str">
        <x:v>数学与应用数学2605班</x:v>
      </x:c>
      <x:c r="D241" s="7" t="str">
        <x:v>202611088</x:v>
      </x:c>
      <x:c r="E241" s="24" t="n">
        <x:f>MAX(0,1-F241)</x:f>
        <x:v>1</x:v>
      </x:c>
      <x:c r="F241" s="25" t="n">
        <x:f>MIN(1,(G241+H241)/1)</x:f>
        <x:v>0</x:v>
      </x:c>
      <x:c r="G241" s="11" t="n">
        <x:v>0</x:v>
      </x:c>
      <x:c r="H241" s="11" t="n">
        <x:v>0</x:v>
      </x:c>
      <x:c r="I241" s="11" t="str"/>
      <x:c r="J241" s="6" t="str"/>
    </x:row>
    <x:row r="242" ht="15.75">
      <x:c r="A242" s="7" t="n">
        <x:v>240</x:v>
      </x:c>
      <x:c r="B242" s="7" t="str">
        <x:v>高一凡</x:v>
      </x:c>
      <x:c r="C242" s="7" t="str">
        <x:v>数学与应用数学2605班</x:v>
      </x:c>
      <x:c r="D242" s="7" t="str">
        <x:v>202611144</x:v>
      </x:c>
      <x:c r="E242" s="24" t="n">
        <x:f>MAX(0,1-F242)</x:f>
        <x:v>1</x:v>
      </x:c>
      <x:c r="F242" s="25" t="n">
        <x:f>MIN(1,(G242+H242)/1)</x:f>
        <x:v>0</x:v>
      </x:c>
      <x:c r="G242" s="11" t="n">
        <x:v>0</x:v>
      </x:c>
      <x:c r="H242" s="11" t="n">
        <x:v>0</x:v>
      </x:c>
      <x:c r="I242" s="12" t="str"/>
      <x:c r="J242" s="6" t="str"/>
    </x:row>
    <x:row r="243" ht="40.5">
      <x:c r="A243" s="7" t="n">
        <x:v>241</x:v>
      </x:c>
      <x:c r="B243" s="16" t="str">
        <x:v>范承恩</x:v>
      </x:c>
      <x:c r="C243" s="7" t="str">
        <x:v>数学与应用数学2605班</x:v>
      </x:c>
      <x:c r="D243" s="7" t="str">
        <x:v>202611253</x:v>
      </x:c>
      <x:c r="E243" s="24" t="n">
        <x:f>MAX(0,1-F243)</x:f>
        <x:v>1</x:v>
      </x:c>
      <x:c r="F243" s="25" t="n">
        <x:f>MIN(1,(G243+H243)/1)</x:f>
        <x:v>0</x:v>
      </x:c>
      <x:c r="G243" s="11" t="n">
        <x:v>0</x:v>
      </x:c>
      <x:c r="H243" s="11" t="n">
        <x:v>0</x:v>
      </x:c>
      <x:c r="I243" s="18" t="str"/>
      <x:c r="J243" s="13" t="str"/>
    </x:row>
    <x:row r="244" ht="15.75">
      <x:c r="A244" s="7" t="n">
        <x:v>242</x:v>
      </x:c>
      <x:c r="B244" s="7" t="str">
        <x:v>王奕瞻</x:v>
      </x:c>
      <x:c r="C244" s="7" t="str">
        <x:v>数学与应用数学2605班</x:v>
      </x:c>
      <x:c r="D244" s="7" t="str">
        <x:v>202611298</x:v>
      </x:c>
      <x:c r="E244" s="24" t="n">
        <x:f>MAX(0,1-F244)</x:f>
        <x:v>1</x:v>
      </x:c>
      <x:c r="F244" s="25" t="n">
        <x:f>MIN(1,(G244+H244)/1)</x:f>
        <x:v>0</x:v>
      </x:c>
      <x:c r="G244" s="11" t="n">
        <x:v>0</x:v>
      </x:c>
      <x:c r="H244" s="11" t="n">
        <x:v>0</x:v>
      </x:c>
      <x:c r="I244" s="12" t="str"/>
      <x:c r="J244" s="6" t="str"/>
    </x:row>
    <x:row r="245" ht="15.75">
      <x:c r="A245" s="7" t="n">
        <x:v>243</x:v>
      </x:c>
      <x:c r="B245" s="7" t="str">
        <x:v>张靖博</x:v>
      </x:c>
      <x:c r="C245" s="7" t="str">
        <x:v>数学与应用数学2605班</x:v>
      </x:c>
      <x:c r="D245" s="7" t="str">
        <x:v>202611333</x:v>
      </x:c>
      <x:c r="E245" s="24" t="n">
        <x:f>MAX(0,1-F245)</x:f>
        <x:v>1</x:v>
      </x:c>
      <x:c r="F245" s="25" t="n">
        <x:f>MIN(1,(G245+H245)/1)</x:f>
        <x:v>0</x:v>
      </x:c>
      <x:c r="G245" s="11" t="n">
        <x:v>0</x:v>
      </x:c>
      <x:c r="H245" s="11" t="n">
        <x:v>0</x:v>
      </x:c>
      <x:c r="I245" s="11" t="str"/>
      <x:c r="J245" s="6" t="str"/>
    </x:row>
    <x:row r="246" ht="40.5">
      <x:c r="A246" s="7" t="n">
        <x:v>244</x:v>
      </x:c>
      <x:c r="B246" s="16" t="str">
        <x:v>李明骏</x:v>
      </x:c>
      <x:c r="C246" s="7" t="str">
        <x:v>数学与应用数学2605班</x:v>
      </x:c>
      <x:c r="D246" s="7" t="str">
        <x:v>202611457</x:v>
      </x:c>
      <x:c r="E246" s="24" t="n">
        <x:f>MAX(0,1-F246)</x:f>
        <x:v>1</x:v>
      </x:c>
      <x:c r="F246" s="25" t="n">
        <x:f>MIN(1,(G246+H246)/1)</x:f>
        <x:v>0</x:v>
      </x:c>
      <x:c r="G246" s="11" t="n">
        <x:v>0</x:v>
      </x:c>
      <x:c r="H246" s="11" t="n">
        <x:v>0</x:v>
      </x:c>
      <x:c r="I246" s="18" t="str"/>
      <x:c r="J246" s="13" t="str"/>
    </x:row>
    <x:row r="247" ht="15.75">
      <x:c r="A247" s="7" t="n">
        <x:v>245</x:v>
      </x:c>
      <x:c r="B247" s="7" t="str">
        <x:v>薛奥杰</x:v>
      </x:c>
      <x:c r="C247" s="7" t="str">
        <x:v>数学与应用数学2605班</x:v>
      </x:c>
      <x:c r="D247" s="7" t="str">
        <x:v>202611533</x:v>
      </x:c>
      <x:c r="E247" s="24" t="n">
        <x:f>MAX(0,1-F247)</x:f>
        <x:v>1</x:v>
      </x:c>
      <x:c r="F247" s="25" t="n">
        <x:f>MIN(1,(G247+H247)/1)</x:f>
        <x:v>0</x:v>
      </x:c>
      <x:c r="G247" s="11" t="n">
        <x:v>0</x:v>
      </x:c>
      <x:c r="H247" s="11" t="n">
        <x:v>0</x:v>
      </x:c>
      <x:c r="I247" s="19" t="str"/>
      <x:c r="J247" s="6" t="str"/>
    </x:row>
    <x:row r="248" ht="15.75">
      <x:c r="A248" s="7" t="n">
        <x:v>246</x:v>
      </x:c>
      <x:c r="B248" s="7" t="str">
        <x:v>张诗楷</x:v>
      </x:c>
      <x:c r="C248" s="7" t="str">
        <x:v>数学与应用数学2605班</x:v>
      </x:c>
      <x:c r="D248" s="7" t="str">
        <x:v>202611678</x:v>
      </x:c>
      <x:c r="E248" s="24" t="n">
        <x:f>MAX(0,1-F248)</x:f>
        <x:v>1</x:v>
      </x:c>
      <x:c r="F248" s="25" t="n">
        <x:f>MIN(1,(G248+H248)/1)</x:f>
        <x:v>0</x:v>
      </x:c>
      <x:c r="G248" s="11" t="n">
        <x:v>0</x:v>
      </x:c>
      <x:c r="H248" s="11" t="n">
        <x:v>0</x:v>
      </x:c>
      <x:c r="I248" s="11" t="str"/>
      <x:c r="J248" s="6" t="str"/>
    </x:row>
    <x:row r="249" ht="15.75">
      <x:c r="A249" s="7" t="n">
        <x:v>247</x:v>
      </x:c>
      <x:c r="B249" s="7" t="str">
        <x:v>黄竞仪</x:v>
      </x:c>
      <x:c r="C249" s="7" t="str">
        <x:v>数学与应用数学2605班</x:v>
      </x:c>
      <x:c r="D249" s="7" t="str">
        <x:v>202611800</x:v>
      </x:c>
      <x:c r="E249" s="24" t="n">
        <x:f>MAX(0,1-F249)</x:f>
        <x:v>1</x:v>
      </x:c>
      <x:c r="F249" s="25" t="n">
        <x:f>MIN(1,(G249+H249)/1)</x:f>
        <x:v>0</x:v>
      </x:c>
      <x:c r="G249" s="11" t="n">
        <x:v>0</x:v>
      </x:c>
      <x:c r="H249" s="11" t="n">
        <x:v>0</x:v>
      </x:c>
      <x:c r="I249" s="11" t="str"/>
      <x:c r="J249" s="6" t="str"/>
    </x:row>
    <x:row r="250" ht="15.75">
      <x:c r="A250" s="7" t="n">
        <x:v>248</x:v>
      </x:c>
      <x:c r="B250" s="7" t="str">
        <x:v>李子晨</x:v>
      </x:c>
      <x:c r="C250" s="7" t="str">
        <x:v>数学与应用数学2605班</x:v>
      </x:c>
      <x:c r="D250" s="7" t="str">
        <x:v>202611880</x:v>
      </x:c>
      <x:c r="E250" s="24" t="n">
        <x:f>MAX(0,1-F250)</x:f>
        <x:v>1</x:v>
      </x:c>
      <x:c r="F250" s="25" t="n">
        <x:f>MIN(1,(G250+H250)/1)</x:f>
        <x:v>0</x:v>
      </x:c>
      <x:c r="G250" s="11" t="n">
        <x:v>0</x:v>
      </x:c>
      <x:c r="H250" s="11" t="n">
        <x:v>0</x:v>
      </x:c>
      <x:c r="I250" s="11" t="str"/>
      <x:c r="J250" s="6" t="str"/>
    </x:row>
    <x:row r="251" ht="15.75">
      <x:c r="A251" s="7" t="n">
        <x:v>249</x:v>
      </x:c>
      <x:c r="B251" s="7" t="str">
        <x:v>胡甜甜</x:v>
      </x:c>
      <x:c r="C251" s="7" t="str">
        <x:v>数学与应用数学2605班</x:v>
      </x:c>
      <x:c r="D251" s="7" t="str">
        <x:v>202612352</x:v>
      </x:c>
      <x:c r="E251" s="24" t="n">
        <x:f>MAX(0,1-F251)</x:f>
        <x:v>1</x:v>
      </x:c>
      <x:c r="F251" s="25" t="n">
        <x:f>MIN(1,(G251+H251)/1)</x:f>
        <x:v>0</x:v>
      </x:c>
      <x:c r="G251" s="11" t="n">
        <x:v>0</x:v>
      </x:c>
      <x:c r="H251" s="11" t="n">
        <x:v>0</x:v>
      </x:c>
      <x:c r="I251" s="12" t="str"/>
      <x:c r="J251" s="6" t="str"/>
    </x:row>
    <x:row r="252">
      <x:c r="A252" t="n">
        <x:v>250</x:v>
      </x:c>
      <x:c r="B252" t="str">
        <x:v>章斌</x:v>
      </x:c>
      <x:c r="C252" t="str">
        <x:v>数学与应用数学2605班</x:v>
      </x:c>
      <x:c r="D252" t="str">
        <x:v>202612406</x:v>
      </x:c>
      <x:c r="E252" s="26" t="n">
        <x:f>MAX(0,1-F252)</x:f>
        <x:v>1</x:v>
      </x:c>
      <x:c r="F252" s="26" t="n">
        <x:f>MIN(1,(G252+H252)/1)</x:f>
        <x:v>0</x:v>
      </x:c>
      <x:c r="G252" t="n">
        <x:v>0</x:v>
      </x:c>
      <x:c r="H252" t="n">
        <x:v>0</x:v>
      </x:c>
      <x:c r="I252" t="str"/>
      <x:c r="J252" s="17" t="str"/>
    </x:row>
    <x:row r="253">
      <x:c r="A253" t="n">
        <x:v>251</x:v>
      </x:c>
      <x:c r="B253" t="str">
        <x:v>李中阁</x:v>
      </x:c>
      <x:c r="C253" t="str">
        <x:v>数学与应用数学2605班</x:v>
      </x:c>
      <x:c r="D253" t="str">
        <x:v>202612547</x:v>
      </x:c>
      <x:c r="E253" s="26" t="n">
        <x:f>MAX(0,1-F253)</x:f>
        <x:v>1</x:v>
      </x:c>
      <x:c r="F253" s="26" t="n">
        <x:f>MIN(1,(G253+H253)/1)</x:f>
        <x:v>0</x:v>
      </x:c>
      <x:c r="G253" t="n">
        <x:v>0</x:v>
      </x:c>
      <x:c r="H253" t="n">
        <x:v>0</x:v>
      </x:c>
      <x:c r="I253" t="str"/>
      <x:c r="J253" t="str"/>
    </x:row>
    <x:row r="254">
      <x:c r="A254" t="n">
        <x:v>252</x:v>
      </x:c>
      <x:c r="B254" t="str">
        <x:v>钟毅</x:v>
      </x:c>
      <x:c r="C254" t="str">
        <x:v>数学与应用数学2605班</x:v>
      </x:c>
      <x:c r="D254" t="str">
        <x:v>202612631</x:v>
      </x:c>
      <x:c r="E254" s="26" t="n">
        <x:f>MAX(0,1-F254)</x:f>
        <x:v>1</x:v>
      </x:c>
      <x:c r="F254" s="26" t="n">
        <x:f>MIN(1,(G254+H254)/1)</x:f>
        <x:v>0</x:v>
      </x:c>
      <x:c r="G254" t="n">
        <x:v>0</x:v>
      </x:c>
      <x:c r="H254" t="n">
        <x:v>0</x:v>
      </x:c>
      <x:c r="I254" t="str"/>
      <x:c r="J254" t="str"/>
    </x:row>
    <x:row r="255">
      <x:c r="A255" t="n">
        <x:v>253</x:v>
      </x:c>
      <x:c r="B255" t="str">
        <x:v>黄奕菲</x:v>
      </x:c>
      <x:c r="C255" t="str">
        <x:v>数学与应用数学2605班</x:v>
      </x:c>
      <x:c r="D255" t="str">
        <x:v>202612633</x:v>
      </x:c>
      <x:c r="E255" s="26" t="n">
        <x:f>MAX(0,1-F255)</x:f>
        <x:v>1</x:v>
      </x:c>
      <x:c r="F255" s="26" t="n">
        <x:f>MIN(1,(G255+H255)/1)</x:f>
        <x:v>0</x:v>
      </x:c>
      <x:c r="G255" t="n">
        <x:v>0</x:v>
      </x:c>
      <x:c r="H255" t="n">
        <x:v>0</x:v>
      </x:c>
      <x:c r="I255" t="str"/>
      <x:c r="J255" t="str"/>
    </x:row>
    <x:row r="256">
      <x:c r="A256" t="n">
        <x:v>254</x:v>
      </x:c>
      <x:c r="B256" t="str">
        <x:v>徐子韩</x:v>
      </x:c>
      <x:c r="C256" t="str">
        <x:v>数学与应用数学2605班</x:v>
      </x:c>
      <x:c r="D256" t="str">
        <x:v>202612857</x:v>
      </x:c>
      <x:c r="E256" s="26" t="n">
        <x:f>MAX(0,1-F256)</x:f>
        <x:v>1</x:v>
      </x:c>
      <x:c r="F256" s="26" t="n">
        <x:f>MIN(1,(G256+H256)/1)</x:f>
        <x:v>0</x:v>
      </x:c>
      <x:c r="G256" t="n">
        <x:v>0</x:v>
      </x:c>
      <x:c r="H256" t="n">
        <x:v>0</x:v>
      </x:c>
      <x:c r="I256" t="str"/>
      <x:c r="J256" t="str"/>
    </x:row>
    <x:row r="257">
      <x:c r="A257" t="n">
        <x:v>255</x:v>
      </x:c>
      <x:c r="B257" t="str">
        <x:v>胡雯清</x:v>
      </x:c>
      <x:c r="C257" t="str">
        <x:v>数学与应用数学2605班</x:v>
      </x:c>
      <x:c r="D257" t="str">
        <x:v>202612875</x:v>
      </x:c>
      <x:c r="E257" s="26" t="n">
        <x:f>MAX(0,1-F257)</x:f>
        <x:v>1</x:v>
      </x:c>
      <x:c r="F257" s="26" t="n">
        <x:f>MIN(1,(G257+H257)/1)</x:f>
        <x:v>0</x:v>
      </x:c>
      <x:c r="G257" t="n">
        <x:v>0</x:v>
      </x:c>
      <x:c r="H257" t="n">
        <x:v>0</x:v>
      </x:c>
      <x:c r="I257" t="str"/>
      <x:c r="J257" t="str"/>
    </x:row>
    <x:row r="258">
      <x:c r="A258" t="n">
        <x:v>256</x:v>
      </x:c>
      <x:c r="B258" t="str">
        <x:v>王跃智</x:v>
      </x:c>
      <x:c r="C258" t="str">
        <x:v>数学与应用数学2605班</x:v>
      </x:c>
      <x:c r="D258" t="str">
        <x:v>202612918</x:v>
      </x:c>
      <x:c r="E258" s="26" t="n">
        <x:f>MAX(0,1-F258)</x:f>
        <x:v>1</x:v>
      </x:c>
      <x:c r="F258" s="26" t="n">
        <x:f>MIN(1,(G258+H258)/1)</x:f>
        <x:v>0</x:v>
      </x:c>
      <x:c r="G258" t="n">
        <x:v>0</x:v>
      </x:c>
      <x:c r="H258" t="n">
        <x:v>0</x:v>
      </x:c>
      <x:c r="I258" t="str"/>
      <x:c r="J258" t="str"/>
    </x:row>
    <x:row r="259">
      <x:c r="A259" t="n">
        <x:v>257</x:v>
      </x:c>
      <x:c r="B259" t="str">
        <x:v>王艺衡</x:v>
      </x:c>
      <x:c r="C259" t="str">
        <x:v>数学与应用数学2605班</x:v>
      </x:c>
      <x:c r="D259" t="str">
        <x:v>202613018</x:v>
      </x:c>
      <x:c r="E259" s="26" t="n">
        <x:f>MAX(0,1-F259)</x:f>
        <x:v>1</x:v>
      </x:c>
      <x:c r="F259" s="26" t="n">
        <x:f>MIN(1,(G259+H259)/1)</x:f>
        <x:v>0</x:v>
      </x:c>
      <x:c r="G259" t="n">
        <x:v>0</x:v>
      </x:c>
      <x:c r="H259" t="n">
        <x:v>0</x:v>
      </x:c>
      <x:c r="I259" t="str"/>
      <x:c r="J259" t="str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59765625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59765625" defaultRowHeight="13.5"/>
  <x:sheetData/>
  <x:pageMargins left="0.7" right="0.7" top="0.75" bottom="0.75" header="0.3" footer="0.3"/>
</x:worksheet>
</file>